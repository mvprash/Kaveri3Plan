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VP\Kaveri 3.0\Source Code\Kaveri 3 Plan\"/>
    </mc:Choice>
  </mc:AlternateContent>
  <bookViews>
    <workbookView showHorizontalScroll="0" showVerticalScroll="0" showSheetTabs="0" xWindow="0" yWindow="0" windowWidth="28800" windowHeight="12180" tabRatio="500"/>
  </bookViews>
  <sheets>
    <sheet name="Document Registration" sheetId="1" r:id="rId1"/>
    <sheet name="Summary" sheetId="2" r:id="rId2"/>
    <sheet name="Notes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3" i="1" l="1"/>
  <c r="B7" i="2"/>
  <c r="B6" i="2"/>
  <c r="B5" i="2"/>
  <c r="B4" i="2"/>
  <c r="C268" i="1"/>
  <c r="C263" i="1"/>
  <c r="C258" i="1"/>
  <c r="C253" i="1"/>
  <c r="C248" i="1"/>
  <c r="C243" i="1"/>
  <c r="C238" i="1"/>
  <c r="C233" i="1"/>
  <c r="C228" i="1"/>
  <c r="C223" i="1"/>
  <c r="C218" i="1"/>
  <c r="C213" i="1"/>
  <c r="C208" i="1"/>
  <c r="C203" i="1"/>
  <c r="C198" i="1"/>
  <c r="C193" i="1"/>
  <c r="C188" i="1"/>
  <c r="C183" i="1"/>
  <c r="C178" i="1"/>
  <c r="C173" i="1"/>
  <c r="C168" i="1"/>
  <c r="C163" i="1"/>
  <c r="C158" i="1"/>
  <c r="C153" i="1"/>
  <c r="C148" i="1"/>
  <c r="C143" i="1"/>
  <c r="C138" i="1"/>
  <c r="C133" i="1"/>
  <c r="C128" i="1"/>
  <c r="C123" i="1"/>
  <c r="C118" i="1"/>
  <c r="C113" i="1"/>
  <c r="C108" i="1"/>
  <c r="C103" i="1"/>
  <c r="C98" i="1"/>
  <c r="C93" i="1"/>
  <c r="C88" i="1"/>
  <c r="C83" i="1"/>
  <c r="C78" i="1"/>
  <c r="C73" i="1"/>
  <c r="C68" i="1"/>
  <c r="C63" i="1"/>
  <c r="C58" i="1"/>
  <c r="C53" i="1"/>
  <c r="C48" i="1"/>
  <c r="C43" i="1"/>
  <c r="C38" i="1"/>
  <c r="C33" i="1"/>
  <c r="C28" i="1"/>
  <c r="C23" i="1"/>
  <c r="C18" i="1"/>
  <c r="C13" i="1"/>
  <c r="C8" i="1"/>
  <c r="C3" i="1"/>
  <c r="B8" i="2" l="1"/>
</calcChain>
</file>

<file path=xl/sharedStrings.xml><?xml version="1.0" encoding="utf-8"?>
<sst xmlns="http://schemas.openxmlformats.org/spreadsheetml/2006/main" count="538" uniqueCount="86">
  <si>
    <t>Document Registration Module - Effort Estimation (in Days)</t>
  </si>
  <si>
    <t>S.No</t>
  </si>
  <si>
    <t>Module / Task</t>
  </si>
  <si>
    <t>Effort (Days)</t>
  </si>
  <si>
    <t>Stamp Duty Calculator</t>
  </si>
  <si>
    <t>i</t>
  </si>
  <si>
    <t>API</t>
  </si>
  <si>
    <t>ii</t>
  </si>
  <si>
    <t>UI</t>
  </si>
  <si>
    <t>iii</t>
  </si>
  <si>
    <t>Code Review (CR)</t>
  </si>
  <si>
    <t>iv</t>
  </si>
  <si>
    <t>Testing (T)</t>
  </si>
  <si>
    <t>Fee Calculator (Registration fee &amp; others)</t>
  </si>
  <si>
    <t>Receipt Creation</t>
  </si>
  <si>
    <t>Property Valuation</t>
  </si>
  <si>
    <t>Property Valuation Communication Slip</t>
  </si>
  <si>
    <t>Court Order Data Entry (22B Entries)</t>
  </si>
  <si>
    <t>Exemptions Data Entry</t>
  </si>
  <si>
    <t>Home Page Design</t>
  </si>
  <si>
    <t>Property Add / Modify / Delete</t>
  </si>
  <si>
    <t>Legal Hold Liabilities Display</t>
  </si>
  <si>
    <t>Party CRUD</t>
  </si>
  <si>
    <t>Witness CRUD</t>
  </si>
  <si>
    <t>Party e-KYC Integration</t>
  </si>
  <si>
    <t>Property Integration (e-Swathu, Bhoomi, BDA, KHB, Mojini)</t>
  </si>
  <si>
    <t>Capture Photo, Biometric</t>
  </si>
  <si>
    <t>Integration with PAN</t>
  </si>
  <si>
    <t>Integration with Passport</t>
  </si>
  <si>
    <t>Fee Calculation Screen</t>
  </si>
  <si>
    <t>SRO Scrutiny Page</t>
  </si>
  <si>
    <t>Document Presentation Page</t>
  </si>
  <si>
    <t>Photo &amp; Thumb Capture Screen - DEO (Add New Identifiers)</t>
  </si>
  <si>
    <t>Generate Endorsement</t>
  </si>
  <si>
    <t>Registration Screen</t>
  </si>
  <si>
    <t>DSC Sign &amp; Integration</t>
  </si>
  <si>
    <t>Digital e-Stamp Template Design</t>
  </si>
  <si>
    <t>Integration with Payment Gateway</t>
  </si>
  <si>
    <t>Implementing Undervaluation Flow / Impounding Flow</t>
  </si>
  <si>
    <t>Verifying Document</t>
  </si>
  <si>
    <t>Rule 17(2), 17(3), 17(1) Filings</t>
  </si>
  <si>
    <t>Scanning Module Integration</t>
  </si>
  <si>
    <t>Cross Reference Module</t>
  </si>
  <si>
    <t>Re-Registration</t>
  </si>
  <si>
    <t>Will After Death of Testator</t>
  </si>
  <si>
    <t>Verify Power of Attorney Document</t>
  </si>
  <si>
    <t>Generate Income Tax SFT Report</t>
  </si>
  <si>
    <t>Search Form for Investigation Department</t>
  </si>
  <si>
    <t>Valuation Form I Creation &amp; Submission</t>
  </si>
  <si>
    <t>Deposit of Will (Closed Will)</t>
  </si>
  <si>
    <t>SRO Dashboard (Login)</t>
  </si>
  <si>
    <t>Workflow Implementation - Document Registration</t>
  </si>
  <si>
    <t>Refund Module</t>
  </si>
  <si>
    <t>Correction Module (Misc G8(2))</t>
  </si>
  <si>
    <t>XML/JSLIP Push to Other Department</t>
  </si>
  <si>
    <t>SMS/Email Integration</t>
  </si>
  <si>
    <t>e-Sign Integration</t>
  </si>
  <si>
    <t>Digilocker Integration</t>
  </si>
  <si>
    <t>Daily Register</t>
  </si>
  <si>
    <t>MIS Reports (All Post-Registration Reports)</t>
  </si>
  <si>
    <t>Integration with GIS</t>
  </si>
  <si>
    <t>Integration with Scality</t>
  </si>
  <si>
    <t>IGR Appeal Cases Related to Undervaluation</t>
  </si>
  <si>
    <t>CVC Valuation Data Entry Module</t>
  </si>
  <si>
    <t>Effort Summary by Category</t>
  </si>
  <si>
    <t>Category</t>
  </si>
  <si>
    <t>Total Effort (Days)</t>
  </si>
  <si>
    <t>TOTAL</t>
  </si>
  <si>
    <t>Legend</t>
  </si>
  <si>
    <t>i - API</t>
  </si>
  <si>
    <t>Application Programming Interface development effort (in days)</t>
  </si>
  <si>
    <t>ii - UI</t>
  </si>
  <si>
    <t>User Interface development effort (in days)</t>
  </si>
  <si>
    <t>iii - Code Review (CR)</t>
  </si>
  <si>
    <t>Code Review effort (in days)</t>
  </si>
  <si>
    <t>iv - Testing (T)</t>
  </si>
  <si>
    <t>Testing effort (in days)</t>
  </si>
  <si>
    <t>Effort (Days) on task row</t>
  </si>
  <si>
    <t>Sum of API + UI + Code Review + Testing for that task</t>
  </si>
  <si>
    <t>Note:</t>
  </si>
  <si>
    <t>Rows highlighted in red italic text in the Notes column have handwriting in the source notes that was unclear or partly obscured. Please verify: Item 9 (module name), Item 31 (task name), Item 53 (UI value).</t>
  </si>
  <si>
    <t>Minute Book Entry</t>
  </si>
  <si>
    <t>Old Pending Document Registration (Pre Kaveri/Kaveri 1 and Kaveri 2)</t>
  </si>
  <si>
    <t>Fruits APIs</t>
  </si>
  <si>
    <t>Home EODB Dashboard</t>
  </si>
  <si>
    <t>Integration with KSRAC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</si>
</sst>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"/>
  <sheetViews>
    <sheetView tabSelected="1" zoomScaleNormal="100" workbookViewId="0">
      <pane ySplit="2" topLeftCell="A126" activePane="bottomLeft" state="frozen"/>
      <selection pane="bottomLeft" activeCell="E138" sqref="E138"/>
    </sheetView>
  </sheetViews>
  <sheetFormatPr defaultColWidth="8.7109375" defaultRowHeight="15" x14ac:dyDescent="0.25"/>
  <cols>
    <col min="1" max="1" width="8" customWidth="1"/>
    <col min="2" max="2" width="60.28515625" bestFit="1" customWidth="1"/>
    <col min="3" max="3" width="14" customWidth="1"/>
  </cols>
  <sheetData>
    <row r="1" spans="1:3" ht="24" customHeight="1" x14ac:dyDescent="0.25">
      <c r="A1" s="21" t="s">
        <v>0</v>
      </c>
      <c r="B1" s="21"/>
      <c r="C1" s="21"/>
    </row>
    <row r="2" spans="1:3" ht="21.75" customHeight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>
        <v>1</v>
      </c>
      <c r="B3" s="3" t="s">
        <v>4</v>
      </c>
      <c r="C3" s="2">
        <f>SUM(C4:C7)</f>
        <v>9</v>
      </c>
    </row>
    <row r="4" spans="1:3" x14ac:dyDescent="0.25">
      <c r="A4" s="4" t="s">
        <v>5</v>
      </c>
      <c r="B4" s="5" t="s">
        <v>6</v>
      </c>
      <c r="C4" s="4">
        <v>3</v>
      </c>
    </row>
    <row r="5" spans="1:3" x14ac:dyDescent="0.25">
      <c r="A5" s="4" t="s">
        <v>7</v>
      </c>
      <c r="B5" s="5" t="s">
        <v>8</v>
      </c>
      <c r="C5" s="4">
        <v>2</v>
      </c>
    </row>
    <row r="6" spans="1:3" x14ac:dyDescent="0.25">
      <c r="A6" s="4" t="s">
        <v>9</v>
      </c>
      <c r="B6" s="5" t="s">
        <v>10</v>
      </c>
      <c r="C6" s="4">
        <v>2</v>
      </c>
    </row>
    <row r="7" spans="1:3" x14ac:dyDescent="0.25">
      <c r="A7" s="4" t="s">
        <v>11</v>
      </c>
      <c r="B7" s="5" t="s">
        <v>12</v>
      </c>
      <c r="C7" s="4">
        <v>2</v>
      </c>
    </row>
    <row r="8" spans="1:3" x14ac:dyDescent="0.25">
      <c r="A8" s="6">
        <v>2</v>
      </c>
      <c r="B8" s="7" t="s">
        <v>13</v>
      </c>
      <c r="C8" s="6">
        <f>SUM(C9:C12)</f>
        <v>5</v>
      </c>
    </row>
    <row r="9" spans="1:3" x14ac:dyDescent="0.25">
      <c r="A9" s="8" t="s">
        <v>5</v>
      </c>
      <c r="B9" s="9" t="s">
        <v>6</v>
      </c>
      <c r="C9" s="8">
        <v>2</v>
      </c>
    </row>
    <row r="10" spans="1:3" x14ac:dyDescent="0.25">
      <c r="A10" s="8" t="s">
        <v>7</v>
      </c>
      <c r="B10" s="9" t="s">
        <v>8</v>
      </c>
      <c r="C10" s="8">
        <v>1</v>
      </c>
    </row>
    <row r="11" spans="1:3" x14ac:dyDescent="0.25">
      <c r="A11" s="8" t="s">
        <v>9</v>
      </c>
      <c r="B11" s="9" t="s">
        <v>10</v>
      </c>
      <c r="C11" s="8">
        <v>1</v>
      </c>
    </row>
    <row r="12" spans="1:3" x14ac:dyDescent="0.25">
      <c r="A12" s="8" t="s">
        <v>11</v>
      </c>
      <c r="B12" s="9" t="s">
        <v>12</v>
      </c>
      <c r="C12" s="8">
        <v>1</v>
      </c>
    </row>
    <row r="13" spans="1:3" x14ac:dyDescent="0.25">
      <c r="A13" s="2">
        <v>3</v>
      </c>
      <c r="B13" s="3" t="s">
        <v>14</v>
      </c>
      <c r="C13" s="2">
        <f>SUM(C14:C17)</f>
        <v>3</v>
      </c>
    </row>
    <row r="14" spans="1:3" x14ac:dyDescent="0.25">
      <c r="A14" s="4" t="s">
        <v>5</v>
      </c>
      <c r="B14" s="5" t="s">
        <v>6</v>
      </c>
      <c r="C14" s="4">
        <v>1</v>
      </c>
    </row>
    <row r="15" spans="1:3" x14ac:dyDescent="0.25">
      <c r="A15" s="4" t="s">
        <v>7</v>
      </c>
      <c r="B15" s="5" t="s">
        <v>8</v>
      </c>
      <c r="C15" s="4">
        <v>1</v>
      </c>
    </row>
    <row r="16" spans="1:3" x14ac:dyDescent="0.25">
      <c r="A16" s="4" t="s">
        <v>9</v>
      </c>
      <c r="B16" s="5" t="s">
        <v>10</v>
      </c>
      <c r="C16" s="4">
        <v>0.5</v>
      </c>
    </row>
    <row r="17" spans="1:3" x14ac:dyDescent="0.25">
      <c r="A17" s="4" t="s">
        <v>11</v>
      </c>
      <c r="B17" s="5" t="s">
        <v>12</v>
      </c>
      <c r="C17" s="4">
        <v>0.5</v>
      </c>
    </row>
    <row r="18" spans="1:3" x14ac:dyDescent="0.25">
      <c r="A18" s="6">
        <v>4</v>
      </c>
      <c r="B18" s="7" t="s">
        <v>15</v>
      </c>
      <c r="C18" s="6">
        <f>SUM(C19:C22)</f>
        <v>10</v>
      </c>
    </row>
    <row r="19" spans="1:3" x14ac:dyDescent="0.25">
      <c r="A19" s="8" t="s">
        <v>5</v>
      </c>
      <c r="B19" s="9" t="s">
        <v>6</v>
      </c>
      <c r="C19" s="8">
        <v>3</v>
      </c>
    </row>
    <row r="20" spans="1:3" x14ac:dyDescent="0.25">
      <c r="A20" s="8" t="s">
        <v>7</v>
      </c>
      <c r="B20" s="9" t="s">
        <v>8</v>
      </c>
      <c r="C20" s="8">
        <v>3</v>
      </c>
    </row>
    <row r="21" spans="1:3" x14ac:dyDescent="0.25">
      <c r="A21" s="8" t="s">
        <v>9</v>
      </c>
      <c r="B21" s="9" t="s">
        <v>10</v>
      </c>
      <c r="C21" s="8">
        <v>2</v>
      </c>
    </row>
    <row r="22" spans="1:3" x14ac:dyDescent="0.25">
      <c r="A22" s="8" t="s">
        <v>11</v>
      </c>
      <c r="B22" s="9" t="s">
        <v>12</v>
      </c>
      <c r="C22" s="8">
        <v>2</v>
      </c>
    </row>
    <row r="23" spans="1:3" x14ac:dyDescent="0.25">
      <c r="A23" s="2">
        <v>5</v>
      </c>
      <c r="B23" s="3" t="s">
        <v>16</v>
      </c>
      <c r="C23" s="2">
        <f>SUM(C24:C27)</f>
        <v>3</v>
      </c>
    </row>
    <row r="24" spans="1:3" x14ac:dyDescent="0.25">
      <c r="A24" s="4" t="s">
        <v>5</v>
      </c>
      <c r="B24" s="5" t="s">
        <v>6</v>
      </c>
      <c r="C24" s="4">
        <v>1</v>
      </c>
    </row>
    <row r="25" spans="1:3" x14ac:dyDescent="0.25">
      <c r="A25" s="4" t="s">
        <v>7</v>
      </c>
      <c r="B25" s="5" t="s">
        <v>8</v>
      </c>
      <c r="C25" s="4">
        <v>1</v>
      </c>
    </row>
    <row r="26" spans="1:3" x14ac:dyDescent="0.25">
      <c r="A26" s="4" t="s">
        <v>9</v>
      </c>
      <c r="B26" s="5" t="s">
        <v>10</v>
      </c>
      <c r="C26" s="4">
        <v>0.5</v>
      </c>
    </row>
    <row r="27" spans="1:3" x14ac:dyDescent="0.25">
      <c r="A27" s="4" t="s">
        <v>11</v>
      </c>
      <c r="B27" s="5" t="s">
        <v>12</v>
      </c>
      <c r="C27" s="4">
        <v>0.5</v>
      </c>
    </row>
    <row r="28" spans="1:3" x14ac:dyDescent="0.25">
      <c r="A28" s="6">
        <v>6</v>
      </c>
      <c r="B28" s="7" t="s">
        <v>17</v>
      </c>
      <c r="C28" s="6">
        <f>SUM(C29:C32)</f>
        <v>6</v>
      </c>
    </row>
    <row r="29" spans="1:3" x14ac:dyDescent="0.25">
      <c r="A29" s="8" t="s">
        <v>5</v>
      </c>
      <c r="B29" s="9" t="s">
        <v>6</v>
      </c>
      <c r="C29" s="8">
        <v>2</v>
      </c>
    </row>
    <row r="30" spans="1:3" x14ac:dyDescent="0.25">
      <c r="A30" s="8" t="s">
        <v>7</v>
      </c>
      <c r="B30" s="9" t="s">
        <v>8</v>
      </c>
      <c r="C30" s="8">
        <v>2</v>
      </c>
    </row>
    <row r="31" spans="1:3" x14ac:dyDescent="0.25">
      <c r="A31" s="8" t="s">
        <v>9</v>
      </c>
      <c r="B31" s="9" t="s">
        <v>10</v>
      </c>
      <c r="C31" s="8">
        <v>1</v>
      </c>
    </row>
    <row r="32" spans="1:3" x14ac:dyDescent="0.25">
      <c r="A32" s="8" t="s">
        <v>11</v>
      </c>
      <c r="B32" s="9" t="s">
        <v>12</v>
      </c>
      <c r="C32" s="8">
        <v>1</v>
      </c>
    </row>
    <row r="33" spans="1:3" x14ac:dyDescent="0.25">
      <c r="A33" s="2">
        <v>7</v>
      </c>
      <c r="B33" s="3" t="s">
        <v>18</v>
      </c>
      <c r="C33" s="2">
        <f>SUM(C34:C37)</f>
        <v>6</v>
      </c>
    </row>
    <row r="34" spans="1:3" x14ac:dyDescent="0.25">
      <c r="A34" s="4" t="s">
        <v>5</v>
      </c>
      <c r="B34" s="5" t="s">
        <v>6</v>
      </c>
      <c r="C34" s="4">
        <v>2</v>
      </c>
    </row>
    <row r="35" spans="1:3" x14ac:dyDescent="0.25">
      <c r="A35" s="4" t="s">
        <v>7</v>
      </c>
      <c r="B35" s="5" t="s">
        <v>8</v>
      </c>
      <c r="C35" s="4">
        <v>2</v>
      </c>
    </row>
    <row r="36" spans="1:3" x14ac:dyDescent="0.25">
      <c r="A36" s="4" t="s">
        <v>9</v>
      </c>
      <c r="B36" s="5" t="s">
        <v>10</v>
      </c>
      <c r="C36" s="4">
        <v>1</v>
      </c>
    </row>
    <row r="37" spans="1:3" x14ac:dyDescent="0.25">
      <c r="A37" s="4" t="s">
        <v>11</v>
      </c>
      <c r="B37" s="5" t="s">
        <v>12</v>
      </c>
      <c r="C37" s="4">
        <v>1</v>
      </c>
    </row>
    <row r="38" spans="1:3" x14ac:dyDescent="0.25">
      <c r="A38" s="6">
        <v>8</v>
      </c>
      <c r="B38" s="7" t="s">
        <v>19</v>
      </c>
      <c r="C38" s="6">
        <f>SUM(C39:C42)</f>
        <v>8</v>
      </c>
    </row>
    <row r="39" spans="1:3" x14ac:dyDescent="0.25">
      <c r="A39" s="8" t="s">
        <v>5</v>
      </c>
      <c r="B39" s="9" t="s">
        <v>6</v>
      </c>
      <c r="C39" s="8">
        <v>2</v>
      </c>
    </row>
    <row r="40" spans="1:3" x14ac:dyDescent="0.25">
      <c r="A40" s="8" t="s">
        <v>7</v>
      </c>
      <c r="B40" s="9" t="s">
        <v>8</v>
      </c>
      <c r="C40" s="8">
        <v>2</v>
      </c>
    </row>
    <row r="41" spans="1:3" x14ac:dyDescent="0.25">
      <c r="A41" s="8" t="s">
        <v>9</v>
      </c>
      <c r="B41" s="9" t="s">
        <v>10</v>
      </c>
      <c r="C41" s="8">
        <v>2</v>
      </c>
    </row>
    <row r="42" spans="1:3" x14ac:dyDescent="0.25">
      <c r="A42" s="8" t="s">
        <v>11</v>
      </c>
      <c r="B42" s="9" t="s">
        <v>12</v>
      </c>
      <c r="C42" s="8">
        <v>2</v>
      </c>
    </row>
    <row r="43" spans="1:3" x14ac:dyDescent="0.25">
      <c r="A43" s="2">
        <v>9</v>
      </c>
      <c r="B43" s="19" t="s">
        <v>84</v>
      </c>
      <c r="C43" s="2">
        <f>SUM(C44:C47)</f>
        <v>8</v>
      </c>
    </row>
    <row r="44" spans="1:3" x14ac:dyDescent="0.25">
      <c r="A44" s="4" t="s">
        <v>5</v>
      </c>
      <c r="B44" s="5" t="s">
        <v>6</v>
      </c>
      <c r="C44" s="4">
        <v>2</v>
      </c>
    </row>
    <row r="45" spans="1:3" x14ac:dyDescent="0.25">
      <c r="A45" s="4" t="s">
        <v>7</v>
      </c>
      <c r="B45" s="5" t="s">
        <v>8</v>
      </c>
      <c r="C45" s="4">
        <v>2</v>
      </c>
    </row>
    <row r="46" spans="1:3" x14ac:dyDescent="0.25">
      <c r="A46" s="4" t="s">
        <v>9</v>
      </c>
      <c r="B46" s="5" t="s">
        <v>10</v>
      </c>
      <c r="C46" s="4">
        <v>2</v>
      </c>
    </row>
    <row r="47" spans="1:3" x14ac:dyDescent="0.25">
      <c r="A47" s="4" t="s">
        <v>11</v>
      </c>
      <c r="B47" s="5" t="s">
        <v>12</v>
      </c>
      <c r="C47" s="4">
        <v>2</v>
      </c>
    </row>
    <row r="48" spans="1:3" x14ac:dyDescent="0.25">
      <c r="A48" s="6">
        <v>10</v>
      </c>
      <c r="B48" s="7" t="s">
        <v>20</v>
      </c>
      <c r="C48" s="6">
        <f>SUM(C49:C52)</f>
        <v>7</v>
      </c>
    </row>
    <row r="49" spans="1:3" x14ac:dyDescent="0.25">
      <c r="A49" s="8" t="s">
        <v>5</v>
      </c>
      <c r="B49" s="9" t="s">
        <v>6</v>
      </c>
      <c r="C49" s="8">
        <v>2</v>
      </c>
    </row>
    <row r="50" spans="1:3" x14ac:dyDescent="0.25">
      <c r="A50" s="8" t="s">
        <v>7</v>
      </c>
      <c r="B50" s="9" t="s">
        <v>8</v>
      </c>
      <c r="C50" s="8">
        <v>2</v>
      </c>
    </row>
    <row r="51" spans="1:3" x14ac:dyDescent="0.25">
      <c r="A51" s="8" t="s">
        <v>9</v>
      </c>
      <c r="B51" s="9" t="s">
        <v>10</v>
      </c>
      <c r="C51" s="8">
        <v>2</v>
      </c>
    </row>
    <row r="52" spans="1:3" x14ac:dyDescent="0.25">
      <c r="A52" s="8" t="s">
        <v>11</v>
      </c>
      <c r="B52" s="9" t="s">
        <v>12</v>
      </c>
      <c r="C52" s="8">
        <v>1</v>
      </c>
    </row>
    <row r="53" spans="1:3" x14ac:dyDescent="0.25">
      <c r="A53" s="2">
        <v>11</v>
      </c>
      <c r="B53" s="3" t="s">
        <v>21</v>
      </c>
      <c r="C53" s="2">
        <f>SUM(C54:C57)</f>
        <v>2</v>
      </c>
    </row>
    <row r="54" spans="1:3" x14ac:dyDescent="0.25">
      <c r="A54" s="4" t="s">
        <v>5</v>
      </c>
      <c r="B54" s="5" t="s">
        <v>6</v>
      </c>
      <c r="C54" s="4">
        <v>0.5</v>
      </c>
    </row>
    <row r="55" spans="1:3" x14ac:dyDescent="0.25">
      <c r="A55" s="4" t="s">
        <v>7</v>
      </c>
      <c r="B55" s="5" t="s">
        <v>8</v>
      </c>
      <c r="C55" s="4">
        <v>0.5</v>
      </c>
    </row>
    <row r="56" spans="1:3" x14ac:dyDescent="0.25">
      <c r="A56" s="4" t="s">
        <v>9</v>
      </c>
      <c r="B56" s="5" t="s">
        <v>10</v>
      </c>
      <c r="C56" s="4">
        <v>0.5</v>
      </c>
    </row>
    <row r="57" spans="1:3" x14ac:dyDescent="0.25">
      <c r="A57" s="4" t="s">
        <v>11</v>
      </c>
      <c r="B57" s="5" t="s">
        <v>12</v>
      </c>
      <c r="C57" s="4">
        <v>0.5</v>
      </c>
    </row>
    <row r="58" spans="1:3" x14ac:dyDescent="0.25">
      <c r="A58" s="6">
        <v>12</v>
      </c>
      <c r="B58" s="7" t="s">
        <v>22</v>
      </c>
      <c r="C58" s="6">
        <f>SUM(C59:C62)</f>
        <v>8</v>
      </c>
    </row>
    <row r="59" spans="1:3" x14ac:dyDescent="0.25">
      <c r="A59" s="8" t="s">
        <v>5</v>
      </c>
      <c r="B59" s="9" t="s">
        <v>6</v>
      </c>
      <c r="C59" s="8">
        <v>2</v>
      </c>
    </row>
    <row r="60" spans="1:3" x14ac:dyDescent="0.25">
      <c r="A60" s="8" t="s">
        <v>7</v>
      </c>
      <c r="B60" s="9" t="s">
        <v>8</v>
      </c>
      <c r="C60" s="8">
        <v>2</v>
      </c>
    </row>
    <row r="61" spans="1:3" x14ac:dyDescent="0.25">
      <c r="A61" s="8" t="s">
        <v>9</v>
      </c>
      <c r="B61" s="9" t="s">
        <v>10</v>
      </c>
      <c r="C61" s="8">
        <v>2</v>
      </c>
    </row>
    <row r="62" spans="1:3" x14ac:dyDescent="0.25">
      <c r="A62" s="8" t="s">
        <v>11</v>
      </c>
      <c r="B62" s="9" t="s">
        <v>12</v>
      </c>
      <c r="C62" s="8">
        <v>2</v>
      </c>
    </row>
    <row r="63" spans="1:3" x14ac:dyDescent="0.25">
      <c r="A63" s="2">
        <v>13</v>
      </c>
      <c r="B63" s="3" t="s">
        <v>23</v>
      </c>
      <c r="C63" s="2">
        <f>SUM(C64:C67)</f>
        <v>8</v>
      </c>
    </row>
    <row r="64" spans="1:3" x14ac:dyDescent="0.25">
      <c r="A64" s="4" t="s">
        <v>5</v>
      </c>
      <c r="B64" s="5" t="s">
        <v>6</v>
      </c>
      <c r="C64" s="4">
        <v>2</v>
      </c>
    </row>
    <row r="65" spans="1:3" x14ac:dyDescent="0.25">
      <c r="A65" s="4" t="s">
        <v>7</v>
      </c>
      <c r="B65" s="5" t="s">
        <v>8</v>
      </c>
      <c r="C65" s="4">
        <v>2</v>
      </c>
    </row>
    <row r="66" spans="1:3" x14ac:dyDescent="0.25">
      <c r="A66" s="4" t="s">
        <v>9</v>
      </c>
      <c r="B66" s="5" t="s">
        <v>10</v>
      </c>
      <c r="C66" s="4">
        <v>2</v>
      </c>
    </row>
    <row r="67" spans="1:3" x14ac:dyDescent="0.25">
      <c r="A67" s="4" t="s">
        <v>11</v>
      </c>
      <c r="B67" s="5" t="s">
        <v>12</v>
      </c>
      <c r="C67" s="4">
        <v>2</v>
      </c>
    </row>
    <row r="68" spans="1:3" x14ac:dyDescent="0.25">
      <c r="A68" s="6">
        <v>14</v>
      </c>
      <c r="B68" s="7" t="s">
        <v>24</v>
      </c>
      <c r="C68" s="6">
        <f>SUM(C69:C72)</f>
        <v>8</v>
      </c>
    </row>
    <row r="69" spans="1:3" x14ac:dyDescent="0.25">
      <c r="A69" s="8" t="s">
        <v>5</v>
      </c>
      <c r="B69" s="9" t="s">
        <v>6</v>
      </c>
      <c r="C69" s="8">
        <v>2</v>
      </c>
    </row>
    <row r="70" spans="1:3" x14ac:dyDescent="0.25">
      <c r="A70" s="8" t="s">
        <v>7</v>
      </c>
      <c r="B70" s="9" t="s">
        <v>8</v>
      </c>
      <c r="C70" s="8">
        <v>2</v>
      </c>
    </row>
    <row r="71" spans="1:3" x14ac:dyDescent="0.25">
      <c r="A71" s="8" t="s">
        <v>9</v>
      </c>
      <c r="B71" s="9" t="s">
        <v>10</v>
      </c>
      <c r="C71" s="8">
        <v>2</v>
      </c>
    </row>
    <row r="72" spans="1:3" x14ac:dyDescent="0.25">
      <c r="A72" s="8" t="s">
        <v>11</v>
      </c>
      <c r="B72" s="9" t="s">
        <v>12</v>
      </c>
      <c r="C72" s="8">
        <v>2</v>
      </c>
    </row>
    <row r="73" spans="1:3" x14ac:dyDescent="0.25">
      <c r="A73" s="2">
        <v>15</v>
      </c>
      <c r="B73" s="3" t="s">
        <v>25</v>
      </c>
      <c r="C73" s="2">
        <f>SUM(C74:C77)</f>
        <v>45</v>
      </c>
    </row>
    <row r="74" spans="1:3" x14ac:dyDescent="0.25">
      <c r="A74" s="4" t="s">
        <v>5</v>
      </c>
      <c r="B74" s="5" t="s">
        <v>6</v>
      </c>
      <c r="C74" s="4">
        <v>15</v>
      </c>
    </row>
    <row r="75" spans="1:3" x14ac:dyDescent="0.25">
      <c r="A75" s="4" t="s">
        <v>7</v>
      </c>
      <c r="B75" s="5" t="s">
        <v>8</v>
      </c>
      <c r="C75" s="4">
        <v>15</v>
      </c>
    </row>
    <row r="76" spans="1:3" x14ac:dyDescent="0.25">
      <c r="A76" s="4" t="s">
        <v>9</v>
      </c>
      <c r="B76" s="5" t="s">
        <v>10</v>
      </c>
      <c r="C76" s="4">
        <v>5</v>
      </c>
    </row>
    <row r="77" spans="1:3" x14ac:dyDescent="0.25">
      <c r="A77" s="4" t="s">
        <v>11</v>
      </c>
      <c r="B77" s="5" t="s">
        <v>12</v>
      </c>
      <c r="C77" s="4">
        <v>10</v>
      </c>
    </row>
    <row r="78" spans="1:3" x14ac:dyDescent="0.25">
      <c r="A78" s="6">
        <v>16</v>
      </c>
      <c r="B78" s="7" t="s">
        <v>26</v>
      </c>
      <c r="C78" s="6">
        <f>SUM(C79:C82)</f>
        <v>8</v>
      </c>
    </row>
    <row r="79" spans="1:3" x14ac:dyDescent="0.25">
      <c r="A79" s="8" t="s">
        <v>5</v>
      </c>
      <c r="B79" s="9" t="s">
        <v>6</v>
      </c>
      <c r="C79" s="8">
        <v>2</v>
      </c>
    </row>
    <row r="80" spans="1:3" x14ac:dyDescent="0.25">
      <c r="A80" s="8" t="s">
        <v>7</v>
      </c>
      <c r="B80" s="9" t="s">
        <v>8</v>
      </c>
      <c r="C80" s="8">
        <v>2</v>
      </c>
    </row>
    <row r="81" spans="1:3" x14ac:dyDescent="0.25">
      <c r="A81" s="8" t="s">
        <v>9</v>
      </c>
      <c r="B81" s="9" t="s">
        <v>10</v>
      </c>
      <c r="C81" s="8">
        <v>2</v>
      </c>
    </row>
    <row r="82" spans="1:3" x14ac:dyDescent="0.25">
      <c r="A82" s="8" t="s">
        <v>11</v>
      </c>
      <c r="B82" s="9" t="s">
        <v>12</v>
      </c>
      <c r="C82" s="8">
        <v>2</v>
      </c>
    </row>
    <row r="83" spans="1:3" x14ac:dyDescent="0.25">
      <c r="A83" s="2">
        <v>17</v>
      </c>
      <c r="B83" s="3" t="s">
        <v>27</v>
      </c>
      <c r="C83" s="2">
        <f>SUM(C84:C87)</f>
        <v>8</v>
      </c>
    </row>
    <row r="84" spans="1:3" x14ac:dyDescent="0.25">
      <c r="A84" s="4" t="s">
        <v>5</v>
      </c>
      <c r="B84" s="5" t="s">
        <v>6</v>
      </c>
      <c r="C84" s="4">
        <v>2</v>
      </c>
    </row>
    <row r="85" spans="1:3" x14ac:dyDescent="0.25">
      <c r="A85" s="4" t="s">
        <v>7</v>
      </c>
      <c r="B85" s="5" t="s">
        <v>8</v>
      </c>
      <c r="C85" s="4">
        <v>2</v>
      </c>
    </row>
    <row r="86" spans="1:3" x14ac:dyDescent="0.25">
      <c r="A86" s="4" t="s">
        <v>9</v>
      </c>
      <c r="B86" s="5" t="s">
        <v>10</v>
      </c>
      <c r="C86" s="4">
        <v>2</v>
      </c>
    </row>
    <row r="87" spans="1:3" x14ac:dyDescent="0.25">
      <c r="A87" s="4" t="s">
        <v>11</v>
      </c>
      <c r="B87" s="5" t="s">
        <v>12</v>
      </c>
      <c r="C87" s="4">
        <v>2</v>
      </c>
    </row>
    <row r="88" spans="1:3" x14ac:dyDescent="0.25">
      <c r="A88" s="6">
        <v>18</v>
      </c>
      <c r="B88" s="7" t="s">
        <v>28</v>
      </c>
      <c r="C88" s="6">
        <f>SUM(C89:C92)</f>
        <v>8</v>
      </c>
    </row>
    <row r="89" spans="1:3" x14ac:dyDescent="0.25">
      <c r="A89" s="8" t="s">
        <v>5</v>
      </c>
      <c r="B89" s="9" t="s">
        <v>6</v>
      </c>
      <c r="C89" s="8">
        <v>2</v>
      </c>
    </row>
    <row r="90" spans="1:3" x14ac:dyDescent="0.25">
      <c r="A90" s="8" t="s">
        <v>7</v>
      </c>
      <c r="B90" s="9" t="s">
        <v>8</v>
      </c>
      <c r="C90" s="8">
        <v>2</v>
      </c>
    </row>
    <row r="91" spans="1:3" x14ac:dyDescent="0.25">
      <c r="A91" s="8" t="s">
        <v>9</v>
      </c>
      <c r="B91" s="9" t="s">
        <v>10</v>
      </c>
      <c r="C91" s="8">
        <v>2</v>
      </c>
    </row>
    <row r="92" spans="1:3" x14ac:dyDescent="0.25">
      <c r="A92" s="8" t="s">
        <v>11</v>
      </c>
      <c r="B92" s="9" t="s">
        <v>12</v>
      </c>
      <c r="C92" s="8">
        <v>2</v>
      </c>
    </row>
    <row r="93" spans="1:3" x14ac:dyDescent="0.25">
      <c r="A93" s="2">
        <v>19</v>
      </c>
      <c r="B93" s="3" t="s">
        <v>29</v>
      </c>
      <c r="C93" s="2">
        <f>SUM(C94:C97)</f>
        <v>8</v>
      </c>
    </row>
    <row r="94" spans="1:3" x14ac:dyDescent="0.25">
      <c r="A94" s="4" t="s">
        <v>5</v>
      </c>
      <c r="B94" s="5" t="s">
        <v>6</v>
      </c>
      <c r="C94" s="4">
        <v>2</v>
      </c>
    </row>
    <row r="95" spans="1:3" x14ac:dyDescent="0.25">
      <c r="A95" s="4" t="s">
        <v>7</v>
      </c>
      <c r="B95" s="5" t="s">
        <v>8</v>
      </c>
      <c r="C95" s="4">
        <v>2</v>
      </c>
    </row>
    <row r="96" spans="1:3" x14ac:dyDescent="0.25">
      <c r="A96" s="4" t="s">
        <v>9</v>
      </c>
      <c r="B96" s="5" t="s">
        <v>10</v>
      </c>
      <c r="C96" s="4">
        <v>2</v>
      </c>
    </row>
    <row r="97" spans="1:3" x14ac:dyDescent="0.25">
      <c r="A97" s="4" t="s">
        <v>11</v>
      </c>
      <c r="B97" s="5" t="s">
        <v>12</v>
      </c>
      <c r="C97" s="4">
        <v>2</v>
      </c>
    </row>
    <row r="98" spans="1:3" x14ac:dyDescent="0.25">
      <c r="A98" s="6">
        <v>20</v>
      </c>
      <c r="B98" s="7" t="s">
        <v>30</v>
      </c>
      <c r="C98" s="6">
        <f>SUM(C99:C102)</f>
        <v>8</v>
      </c>
    </row>
    <row r="99" spans="1:3" x14ac:dyDescent="0.25">
      <c r="A99" s="8" t="s">
        <v>5</v>
      </c>
      <c r="B99" s="9" t="s">
        <v>6</v>
      </c>
      <c r="C99" s="8">
        <v>2</v>
      </c>
    </row>
    <row r="100" spans="1:3" x14ac:dyDescent="0.25">
      <c r="A100" s="8" t="s">
        <v>7</v>
      </c>
      <c r="B100" s="9" t="s">
        <v>8</v>
      </c>
      <c r="C100" s="8">
        <v>2</v>
      </c>
    </row>
    <row r="101" spans="1:3" x14ac:dyDescent="0.25">
      <c r="A101" s="8" t="s">
        <v>9</v>
      </c>
      <c r="B101" s="9" t="s">
        <v>10</v>
      </c>
      <c r="C101" s="8">
        <v>2</v>
      </c>
    </row>
    <row r="102" spans="1:3" x14ac:dyDescent="0.25">
      <c r="A102" s="8" t="s">
        <v>11</v>
      </c>
      <c r="B102" s="9" t="s">
        <v>12</v>
      </c>
      <c r="C102" s="8">
        <v>2</v>
      </c>
    </row>
    <row r="103" spans="1:3" x14ac:dyDescent="0.25">
      <c r="A103" s="2">
        <v>21</v>
      </c>
      <c r="B103" s="3" t="s">
        <v>31</v>
      </c>
      <c r="C103" s="2">
        <f>SUM(C104:C107)</f>
        <v>8</v>
      </c>
    </row>
    <row r="104" spans="1:3" x14ac:dyDescent="0.25">
      <c r="A104" s="4" t="s">
        <v>5</v>
      </c>
      <c r="B104" s="5" t="s">
        <v>6</v>
      </c>
      <c r="C104" s="4">
        <v>2</v>
      </c>
    </row>
    <row r="105" spans="1:3" x14ac:dyDescent="0.25">
      <c r="A105" s="4" t="s">
        <v>7</v>
      </c>
      <c r="B105" s="5" t="s">
        <v>8</v>
      </c>
      <c r="C105" s="4">
        <v>2</v>
      </c>
    </row>
    <row r="106" spans="1:3" x14ac:dyDescent="0.25">
      <c r="A106" s="4" t="s">
        <v>9</v>
      </c>
      <c r="B106" s="5" t="s">
        <v>10</v>
      </c>
      <c r="C106" s="4">
        <v>2</v>
      </c>
    </row>
    <row r="107" spans="1:3" x14ac:dyDescent="0.25">
      <c r="A107" s="4" t="s">
        <v>11</v>
      </c>
      <c r="B107" s="5" t="s">
        <v>12</v>
      </c>
      <c r="C107" s="4">
        <v>2</v>
      </c>
    </row>
    <row r="108" spans="1:3" x14ac:dyDescent="0.25">
      <c r="A108" s="6">
        <v>22</v>
      </c>
      <c r="B108" s="7" t="s">
        <v>32</v>
      </c>
      <c r="C108" s="6">
        <f>SUM(C109:C112)</f>
        <v>8</v>
      </c>
    </row>
    <row r="109" spans="1:3" x14ac:dyDescent="0.25">
      <c r="A109" s="8" t="s">
        <v>5</v>
      </c>
      <c r="B109" s="9" t="s">
        <v>6</v>
      </c>
      <c r="C109" s="8">
        <v>2</v>
      </c>
    </row>
    <row r="110" spans="1:3" x14ac:dyDescent="0.25">
      <c r="A110" s="8" t="s">
        <v>7</v>
      </c>
      <c r="B110" s="9" t="s">
        <v>8</v>
      </c>
      <c r="C110" s="8">
        <v>2</v>
      </c>
    </row>
    <row r="111" spans="1:3" x14ac:dyDescent="0.25">
      <c r="A111" s="8" t="s">
        <v>9</v>
      </c>
      <c r="B111" s="9" t="s">
        <v>10</v>
      </c>
      <c r="C111" s="8">
        <v>2</v>
      </c>
    </row>
    <row r="112" spans="1:3" x14ac:dyDescent="0.25">
      <c r="A112" s="8" t="s">
        <v>11</v>
      </c>
      <c r="B112" s="9" t="s">
        <v>12</v>
      </c>
      <c r="C112" s="8">
        <v>2</v>
      </c>
    </row>
    <row r="113" spans="1:3" x14ac:dyDescent="0.25">
      <c r="A113" s="2">
        <v>23</v>
      </c>
      <c r="B113" s="3" t="s">
        <v>33</v>
      </c>
      <c r="C113" s="2">
        <f>SUM(C114:C117)</f>
        <v>9</v>
      </c>
    </row>
    <row r="114" spans="1:3" x14ac:dyDescent="0.25">
      <c r="A114" s="4" t="s">
        <v>5</v>
      </c>
      <c r="B114" s="5" t="s">
        <v>6</v>
      </c>
      <c r="C114" s="4">
        <v>3</v>
      </c>
    </row>
    <row r="115" spans="1:3" x14ac:dyDescent="0.25">
      <c r="A115" s="4" t="s">
        <v>7</v>
      </c>
      <c r="B115" s="5" t="s">
        <v>8</v>
      </c>
      <c r="C115" s="4">
        <v>2</v>
      </c>
    </row>
    <row r="116" spans="1:3" x14ac:dyDescent="0.25">
      <c r="A116" s="4" t="s">
        <v>9</v>
      </c>
      <c r="B116" s="5" t="s">
        <v>10</v>
      </c>
      <c r="C116" s="4">
        <v>2</v>
      </c>
    </row>
    <row r="117" spans="1:3" x14ac:dyDescent="0.25">
      <c r="A117" s="4" t="s">
        <v>11</v>
      </c>
      <c r="B117" s="5" t="s">
        <v>12</v>
      </c>
      <c r="C117" s="4">
        <v>2</v>
      </c>
    </row>
    <row r="118" spans="1:3" x14ac:dyDescent="0.25">
      <c r="A118" s="6">
        <v>24</v>
      </c>
      <c r="B118" s="7" t="s">
        <v>34</v>
      </c>
      <c r="C118" s="6">
        <f>SUM(C119:C122)</f>
        <v>10</v>
      </c>
    </row>
    <row r="119" spans="1:3" x14ac:dyDescent="0.25">
      <c r="A119" s="8" t="s">
        <v>5</v>
      </c>
      <c r="B119" s="9" t="s">
        <v>6</v>
      </c>
      <c r="C119" s="8">
        <v>4</v>
      </c>
    </row>
    <row r="120" spans="1:3" x14ac:dyDescent="0.25">
      <c r="A120" s="8" t="s">
        <v>7</v>
      </c>
      <c r="B120" s="9" t="s">
        <v>8</v>
      </c>
      <c r="C120" s="8">
        <v>2</v>
      </c>
    </row>
    <row r="121" spans="1:3" x14ac:dyDescent="0.25">
      <c r="A121" s="8" t="s">
        <v>9</v>
      </c>
      <c r="B121" s="9" t="s">
        <v>10</v>
      </c>
      <c r="C121" s="8">
        <v>2</v>
      </c>
    </row>
    <row r="122" spans="1:3" x14ac:dyDescent="0.25">
      <c r="A122" s="8" t="s">
        <v>11</v>
      </c>
      <c r="B122" s="9" t="s">
        <v>12</v>
      </c>
      <c r="C122" s="8">
        <v>2</v>
      </c>
    </row>
    <row r="123" spans="1:3" x14ac:dyDescent="0.25">
      <c r="A123" s="2">
        <v>25</v>
      </c>
      <c r="B123" s="3" t="s">
        <v>35</v>
      </c>
      <c r="C123" s="2">
        <f>SUM(C124:C127)</f>
        <v>12</v>
      </c>
    </row>
    <row r="124" spans="1:3" x14ac:dyDescent="0.25">
      <c r="A124" s="4" t="s">
        <v>5</v>
      </c>
      <c r="B124" s="5" t="s">
        <v>6</v>
      </c>
      <c r="C124" s="4">
        <v>3</v>
      </c>
    </row>
    <row r="125" spans="1:3" x14ac:dyDescent="0.25">
      <c r="A125" s="4" t="s">
        <v>7</v>
      </c>
      <c r="B125" s="5" t="s">
        <v>8</v>
      </c>
      <c r="C125" s="4">
        <v>3</v>
      </c>
    </row>
    <row r="126" spans="1:3" x14ac:dyDescent="0.25">
      <c r="A126" s="4" t="s">
        <v>9</v>
      </c>
      <c r="B126" s="5" t="s">
        <v>10</v>
      </c>
      <c r="C126" s="4">
        <v>3</v>
      </c>
    </row>
    <row r="127" spans="1:3" x14ac:dyDescent="0.25">
      <c r="A127" s="4" t="s">
        <v>11</v>
      </c>
      <c r="B127" s="5" t="s">
        <v>12</v>
      </c>
      <c r="C127" s="4">
        <v>3</v>
      </c>
    </row>
    <row r="128" spans="1:3" x14ac:dyDescent="0.25">
      <c r="A128" s="6">
        <v>26</v>
      </c>
      <c r="B128" s="7" t="s">
        <v>36</v>
      </c>
      <c r="C128" s="6">
        <f>SUM(C129:C132)</f>
        <v>8</v>
      </c>
    </row>
    <row r="129" spans="1:3" x14ac:dyDescent="0.25">
      <c r="A129" s="8" t="s">
        <v>5</v>
      </c>
      <c r="B129" s="9" t="s">
        <v>6</v>
      </c>
      <c r="C129" s="8">
        <v>2</v>
      </c>
    </row>
    <row r="130" spans="1:3" x14ac:dyDescent="0.25">
      <c r="A130" s="8" t="s">
        <v>7</v>
      </c>
      <c r="B130" s="9" t="s">
        <v>8</v>
      </c>
      <c r="C130" s="8">
        <v>2</v>
      </c>
    </row>
    <row r="131" spans="1:3" x14ac:dyDescent="0.25">
      <c r="A131" s="8" t="s">
        <v>9</v>
      </c>
      <c r="B131" s="9" t="s">
        <v>10</v>
      </c>
      <c r="C131" s="8">
        <v>2</v>
      </c>
    </row>
    <row r="132" spans="1:3" x14ac:dyDescent="0.25">
      <c r="A132" s="8" t="s">
        <v>11</v>
      </c>
      <c r="B132" s="9" t="s">
        <v>12</v>
      </c>
      <c r="C132" s="8">
        <v>2</v>
      </c>
    </row>
    <row r="133" spans="1:3" x14ac:dyDescent="0.25">
      <c r="A133" s="2">
        <v>27</v>
      </c>
      <c r="B133" s="3" t="s">
        <v>37</v>
      </c>
      <c r="C133" s="2">
        <f>SUM(C134:C137)</f>
        <v>8</v>
      </c>
    </row>
    <row r="134" spans="1:3" x14ac:dyDescent="0.25">
      <c r="A134" s="4" t="s">
        <v>5</v>
      </c>
      <c r="B134" s="5" t="s">
        <v>6</v>
      </c>
      <c r="C134" s="4">
        <v>2</v>
      </c>
    </row>
    <row r="135" spans="1:3" x14ac:dyDescent="0.25">
      <c r="A135" s="4" t="s">
        <v>7</v>
      </c>
      <c r="B135" s="5" t="s">
        <v>8</v>
      </c>
      <c r="C135" s="4">
        <v>2</v>
      </c>
    </row>
    <row r="136" spans="1:3" x14ac:dyDescent="0.25">
      <c r="A136" s="4" t="s">
        <v>9</v>
      </c>
      <c r="B136" s="5" t="s">
        <v>10</v>
      </c>
      <c r="C136" s="4">
        <v>2</v>
      </c>
    </row>
    <row r="137" spans="1:3" x14ac:dyDescent="0.25">
      <c r="A137" s="4" t="s">
        <v>11</v>
      </c>
      <c r="B137" s="5" t="s">
        <v>12</v>
      </c>
      <c r="C137" s="4">
        <v>2</v>
      </c>
    </row>
    <row r="138" spans="1:3" x14ac:dyDescent="0.25">
      <c r="A138" s="6">
        <v>28</v>
      </c>
      <c r="B138" s="7" t="s">
        <v>85</v>
      </c>
      <c r="C138" s="6">
        <f>SUM(C139:C142)</f>
        <v>10</v>
      </c>
    </row>
    <row r="139" spans="1:3" x14ac:dyDescent="0.25">
      <c r="A139" s="8" t="s">
        <v>5</v>
      </c>
      <c r="B139" s="9" t="s">
        <v>6</v>
      </c>
      <c r="C139" s="8">
        <v>3</v>
      </c>
    </row>
    <row r="140" spans="1:3" x14ac:dyDescent="0.25">
      <c r="A140" s="8" t="s">
        <v>7</v>
      </c>
      <c r="B140" s="9" t="s">
        <v>8</v>
      </c>
      <c r="C140" s="8">
        <v>3</v>
      </c>
    </row>
    <row r="141" spans="1:3" x14ac:dyDescent="0.25">
      <c r="A141" s="8" t="s">
        <v>9</v>
      </c>
      <c r="B141" s="9" t="s">
        <v>10</v>
      </c>
      <c r="C141" s="8">
        <v>2</v>
      </c>
    </row>
    <row r="142" spans="1:3" x14ac:dyDescent="0.25">
      <c r="A142" s="8" t="s">
        <v>11</v>
      </c>
      <c r="B142" s="9" t="s">
        <v>12</v>
      </c>
      <c r="C142" s="8">
        <v>2</v>
      </c>
    </row>
    <row r="143" spans="1:3" x14ac:dyDescent="0.25">
      <c r="A143" s="2">
        <v>29</v>
      </c>
      <c r="B143" s="3" t="s">
        <v>38</v>
      </c>
      <c r="C143" s="2">
        <f>SUM(C144:C147)</f>
        <v>16</v>
      </c>
    </row>
    <row r="144" spans="1:3" x14ac:dyDescent="0.25">
      <c r="A144" s="4" t="s">
        <v>5</v>
      </c>
      <c r="B144" s="5" t="s">
        <v>6</v>
      </c>
      <c r="C144" s="4">
        <v>5</v>
      </c>
    </row>
    <row r="145" spans="1:3" x14ac:dyDescent="0.25">
      <c r="A145" s="4" t="s">
        <v>7</v>
      </c>
      <c r="B145" s="5" t="s">
        <v>8</v>
      </c>
      <c r="C145" s="4">
        <v>5</v>
      </c>
    </row>
    <row r="146" spans="1:3" x14ac:dyDescent="0.25">
      <c r="A146" s="4" t="s">
        <v>9</v>
      </c>
      <c r="B146" s="5" t="s">
        <v>10</v>
      </c>
      <c r="C146" s="4">
        <v>3</v>
      </c>
    </row>
    <row r="147" spans="1:3" x14ac:dyDescent="0.25">
      <c r="A147" s="4" t="s">
        <v>11</v>
      </c>
      <c r="B147" s="5" t="s">
        <v>12</v>
      </c>
      <c r="C147" s="4">
        <v>3</v>
      </c>
    </row>
    <row r="148" spans="1:3" x14ac:dyDescent="0.25">
      <c r="A148" s="6">
        <v>30</v>
      </c>
      <c r="B148" s="7" t="s">
        <v>39</v>
      </c>
      <c r="C148" s="6">
        <f>SUM(C149:C152)</f>
        <v>4</v>
      </c>
    </row>
    <row r="149" spans="1:3" x14ac:dyDescent="0.25">
      <c r="A149" s="8" t="s">
        <v>5</v>
      </c>
      <c r="B149" s="9" t="s">
        <v>6</v>
      </c>
      <c r="C149" s="8">
        <v>1</v>
      </c>
    </row>
    <row r="150" spans="1:3" x14ac:dyDescent="0.25">
      <c r="A150" s="8" t="s">
        <v>7</v>
      </c>
      <c r="B150" s="9" t="s">
        <v>8</v>
      </c>
      <c r="C150" s="8">
        <v>1</v>
      </c>
    </row>
    <row r="151" spans="1:3" x14ac:dyDescent="0.25">
      <c r="A151" s="8" t="s">
        <v>9</v>
      </c>
      <c r="B151" s="9" t="s">
        <v>10</v>
      </c>
      <c r="C151" s="8">
        <v>1</v>
      </c>
    </row>
    <row r="152" spans="1:3" x14ac:dyDescent="0.25">
      <c r="A152" s="8" t="s">
        <v>11</v>
      </c>
      <c r="B152" s="9" t="s">
        <v>12</v>
      </c>
      <c r="C152" s="8">
        <v>1</v>
      </c>
    </row>
    <row r="153" spans="1:3" x14ac:dyDescent="0.25">
      <c r="A153" s="2">
        <v>31</v>
      </c>
      <c r="B153" s="19" t="s">
        <v>83</v>
      </c>
      <c r="C153" s="2">
        <f>SUM(C154:C157)</f>
        <v>27</v>
      </c>
    </row>
    <row r="154" spans="1:3" x14ac:dyDescent="0.25">
      <c r="A154" s="4" t="s">
        <v>5</v>
      </c>
      <c r="B154" s="5" t="s">
        <v>6</v>
      </c>
      <c r="C154" s="4">
        <v>15</v>
      </c>
    </row>
    <row r="155" spans="1:3" x14ac:dyDescent="0.25">
      <c r="A155" s="4" t="s">
        <v>7</v>
      </c>
      <c r="B155" s="5" t="s">
        <v>8</v>
      </c>
      <c r="C155" s="4">
        <v>5</v>
      </c>
    </row>
    <row r="156" spans="1:3" x14ac:dyDescent="0.25">
      <c r="A156" s="4" t="s">
        <v>9</v>
      </c>
      <c r="B156" s="5" t="s">
        <v>10</v>
      </c>
      <c r="C156" s="4">
        <v>2</v>
      </c>
    </row>
    <row r="157" spans="1:3" x14ac:dyDescent="0.25">
      <c r="A157" s="4" t="s">
        <v>11</v>
      </c>
      <c r="B157" s="5" t="s">
        <v>12</v>
      </c>
      <c r="C157" s="4">
        <v>5</v>
      </c>
    </row>
    <row r="158" spans="1:3" x14ac:dyDescent="0.25">
      <c r="A158" s="6">
        <v>32</v>
      </c>
      <c r="B158" s="7" t="s">
        <v>40</v>
      </c>
      <c r="C158" s="6">
        <f>SUM(C159:C162)</f>
        <v>30</v>
      </c>
    </row>
    <row r="159" spans="1:3" x14ac:dyDescent="0.25">
      <c r="A159" s="8" t="s">
        <v>5</v>
      </c>
      <c r="B159" s="9" t="s">
        <v>6</v>
      </c>
      <c r="C159" s="8">
        <v>10</v>
      </c>
    </row>
    <row r="160" spans="1:3" x14ac:dyDescent="0.25">
      <c r="A160" s="8" t="s">
        <v>7</v>
      </c>
      <c r="B160" s="9" t="s">
        <v>8</v>
      </c>
      <c r="C160" s="8">
        <v>10</v>
      </c>
    </row>
    <row r="161" spans="1:3" x14ac:dyDescent="0.25">
      <c r="A161" s="8" t="s">
        <v>9</v>
      </c>
      <c r="B161" s="9" t="s">
        <v>10</v>
      </c>
      <c r="C161" s="8">
        <v>5</v>
      </c>
    </row>
    <row r="162" spans="1:3" x14ac:dyDescent="0.25">
      <c r="A162" s="8" t="s">
        <v>11</v>
      </c>
      <c r="B162" s="9" t="s">
        <v>12</v>
      </c>
      <c r="C162" s="8">
        <v>5</v>
      </c>
    </row>
    <row r="163" spans="1:3" x14ac:dyDescent="0.25">
      <c r="A163" s="2">
        <v>33</v>
      </c>
      <c r="B163" s="3" t="s">
        <v>41</v>
      </c>
      <c r="C163" s="2">
        <f>SUM(C164:C167)</f>
        <v>14</v>
      </c>
    </row>
    <row r="164" spans="1:3" x14ac:dyDescent="0.25">
      <c r="A164" s="4" t="s">
        <v>5</v>
      </c>
      <c r="B164" s="5" t="s">
        <v>6</v>
      </c>
      <c r="C164" s="4">
        <v>5</v>
      </c>
    </row>
    <row r="165" spans="1:3" x14ac:dyDescent="0.25">
      <c r="A165" s="4" t="s">
        <v>7</v>
      </c>
      <c r="B165" s="5" t="s">
        <v>8</v>
      </c>
      <c r="C165" s="4">
        <v>5</v>
      </c>
    </row>
    <row r="166" spans="1:3" x14ac:dyDescent="0.25">
      <c r="A166" s="4" t="s">
        <v>9</v>
      </c>
      <c r="B166" s="5" t="s">
        <v>10</v>
      </c>
      <c r="C166" s="4">
        <v>2</v>
      </c>
    </row>
    <row r="167" spans="1:3" x14ac:dyDescent="0.25">
      <c r="A167" s="4" t="s">
        <v>11</v>
      </c>
      <c r="B167" s="5" t="s">
        <v>12</v>
      </c>
      <c r="C167" s="4">
        <v>2</v>
      </c>
    </row>
    <row r="168" spans="1:3" x14ac:dyDescent="0.25">
      <c r="A168" s="6">
        <v>34</v>
      </c>
      <c r="B168" s="7" t="s">
        <v>42</v>
      </c>
      <c r="C168" s="6">
        <f>SUM(C169:C172)</f>
        <v>8</v>
      </c>
    </row>
    <row r="169" spans="1:3" x14ac:dyDescent="0.25">
      <c r="A169" s="8" t="s">
        <v>5</v>
      </c>
      <c r="B169" s="9" t="s">
        <v>6</v>
      </c>
      <c r="C169" s="8">
        <v>2</v>
      </c>
    </row>
    <row r="170" spans="1:3" x14ac:dyDescent="0.25">
      <c r="A170" s="8" t="s">
        <v>7</v>
      </c>
      <c r="B170" s="9" t="s">
        <v>8</v>
      </c>
      <c r="C170" s="8">
        <v>2</v>
      </c>
    </row>
    <row r="171" spans="1:3" x14ac:dyDescent="0.25">
      <c r="A171" s="8" t="s">
        <v>9</v>
      </c>
      <c r="B171" s="9" t="s">
        <v>10</v>
      </c>
      <c r="C171" s="8">
        <v>2</v>
      </c>
    </row>
    <row r="172" spans="1:3" x14ac:dyDescent="0.25">
      <c r="A172" s="8" t="s">
        <v>11</v>
      </c>
      <c r="B172" s="9" t="s">
        <v>12</v>
      </c>
      <c r="C172" s="8">
        <v>2</v>
      </c>
    </row>
    <row r="173" spans="1:3" x14ac:dyDescent="0.25">
      <c r="A173" s="2">
        <v>35</v>
      </c>
      <c r="B173" s="3" t="s">
        <v>43</v>
      </c>
      <c r="C173" s="2">
        <f>SUM(C174:C177)</f>
        <v>14</v>
      </c>
    </row>
    <row r="174" spans="1:3" x14ac:dyDescent="0.25">
      <c r="A174" s="4" t="s">
        <v>5</v>
      </c>
      <c r="B174" s="5" t="s">
        <v>6</v>
      </c>
      <c r="C174" s="4">
        <v>5</v>
      </c>
    </row>
    <row r="175" spans="1:3" x14ac:dyDescent="0.25">
      <c r="A175" s="4" t="s">
        <v>7</v>
      </c>
      <c r="B175" s="5" t="s">
        <v>8</v>
      </c>
      <c r="C175" s="4">
        <v>5</v>
      </c>
    </row>
    <row r="176" spans="1:3" x14ac:dyDescent="0.25">
      <c r="A176" s="4" t="s">
        <v>9</v>
      </c>
      <c r="B176" s="5" t="s">
        <v>10</v>
      </c>
      <c r="C176" s="4">
        <v>2</v>
      </c>
    </row>
    <row r="177" spans="1:3" x14ac:dyDescent="0.25">
      <c r="A177" s="4" t="s">
        <v>11</v>
      </c>
      <c r="B177" s="5" t="s">
        <v>12</v>
      </c>
      <c r="C177" s="4">
        <v>2</v>
      </c>
    </row>
    <row r="178" spans="1:3" x14ac:dyDescent="0.25">
      <c r="A178" s="6">
        <v>36</v>
      </c>
      <c r="B178" s="7" t="s">
        <v>44</v>
      </c>
      <c r="C178" s="6">
        <f>SUM(C179:C182)</f>
        <v>14</v>
      </c>
    </row>
    <row r="179" spans="1:3" x14ac:dyDescent="0.25">
      <c r="A179" s="8" t="s">
        <v>5</v>
      </c>
      <c r="B179" s="9" t="s">
        <v>6</v>
      </c>
      <c r="C179" s="8">
        <v>5</v>
      </c>
    </row>
    <row r="180" spans="1:3" x14ac:dyDescent="0.25">
      <c r="A180" s="8" t="s">
        <v>7</v>
      </c>
      <c r="B180" s="9" t="s">
        <v>8</v>
      </c>
      <c r="C180" s="8">
        <v>5</v>
      </c>
    </row>
    <row r="181" spans="1:3" x14ac:dyDescent="0.25">
      <c r="A181" s="8" t="s">
        <v>9</v>
      </c>
      <c r="B181" s="9" t="s">
        <v>10</v>
      </c>
      <c r="C181" s="8">
        <v>2</v>
      </c>
    </row>
    <row r="182" spans="1:3" x14ac:dyDescent="0.25">
      <c r="A182" s="8" t="s">
        <v>11</v>
      </c>
      <c r="B182" s="9" t="s">
        <v>12</v>
      </c>
      <c r="C182" s="8">
        <v>2</v>
      </c>
    </row>
    <row r="183" spans="1:3" x14ac:dyDescent="0.25">
      <c r="A183" s="2">
        <v>37</v>
      </c>
      <c r="B183" s="3" t="s">
        <v>45</v>
      </c>
      <c r="C183" s="2">
        <f>SUM(C184:C187)</f>
        <v>8</v>
      </c>
    </row>
    <row r="184" spans="1:3" x14ac:dyDescent="0.25">
      <c r="A184" s="4" t="s">
        <v>5</v>
      </c>
      <c r="B184" s="5" t="s">
        <v>6</v>
      </c>
      <c r="C184" s="4">
        <v>2</v>
      </c>
    </row>
    <row r="185" spans="1:3" x14ac:dyDescent="0.25">
      <c r="A185" s="4" t="s">
        <v>7</v>
      </c>
      <c r="B185" s="5" t="s">
        <v>8</v>
      </c>
      <c r="C185" s="4">
        <v>2</v>
      </c>
    </row>
    <row r="186" spans="1:3" x14ac:dyDescent="0.25">
      <c r="A186" s="4" t="s">
        <v>9</v>
      </c>
      <c r="B186" s="5" t="s">
        <v>10</v>
      </c>
      <c r="C186" s="4">
        <v>2</v>
      </c>
    </row>
    <row r="187" spans="1:3" x14ac:dyDescent="0.25">
      <c r="A187" s="4" t="s">
        <v>11</v>
      </c>
      <c r="B187" s="5" t="s">
        <v>12</v>
      </c>
      <c r="C187" s="4">
        <v>2</v>
      </c>
    </row>
    <row r="188" spans="1:3" x14ac:dyDescent="0.25">
      <c r="A188" s="6">
        <v>38</v>
      </c>
      <c r="B188" s="7" t="s">
        <v>46</v>
      </c>
      <c r="C188" s="6">
        <f>SUM(C189:C192)</f>
        <v>14</v>
      </c>
    </row>
    <row r="189" spans="1:3" x14ac:dyDescent="0.25">
      <c r="A189" s="8" t="s">
        <v>5</v>
      </c>
      <c r="B189" s="9" t="s">
        <v>6</v>
      </c>
      <c r="C189" s="8">
        <v>5</v>
      </c>
    </row>
    <row r="190" spans="1:3" x14ac:dyDescent="0.25">
      <c r="A190" s="8" t="s">
        <v>7</v>
      </c>
      <c r="B190" s="9" t="s">
        <v>8</v>
      </c>
      <c r="C190" s="8">
        <v>5</v>
      </c>
    </row>
    <row r="191" spans="1:3" x14ac:dyDescent="0.25">
      <c r="A191" s="8" t="s">
        <v>9</v>
      </c>
      <c r="B191" s="9" t="s">
        <v>10</v>
      </c>
      <c r="C191" s="8">
        <v>2</v>
      </c>
    </row>
    <row r="192" spans="1:3" x14ac:dyDescent="0.25">
      <c r="A192" s="8" t="s">
        <v>11</v>
      </c>
      <c r="B192" s="9" t="s">
        <v>12</v>
      </c>
      <c r="C192" s="8">
        <v>2</v>
      </c>
    </row>
    <row r="193" spans="1:3" x14ac:dyDescent="0.25">
      <c r="A193" s="2">
        <v>39</v>
      </c>
      <c r="B193" s="3" t="s">
        <v>47</v>
      </c>
      <c r="C193" s="2">
        <f>SUM(C194:C197)</f>
        <v>10</v>
      </c>
    </row>
    <row r="194" spans="1:3" x14ac:dyDescent="0.25">
      <c r="A194" s="4" t="s">
        <v>5</v>
      </c>
      <c r="B194" s="5" t="s">
        <v>6</v>
      </c>
      <c r="C194" s="4">
        <v>3</v>
      </c>
    </row>
    <row r="195" spans="1:3" x14ac:dyDescent="0.25">
      <c r="A195" s="4" t="s">
        <v>7</v>
      </c>
      <c r="B195" s="5" t="s">
        <v>8</v>
      </c>
      <c r="C195" s="4">
        <v>3</v>
      </c>
    </row>
    <row r="196" spans="1:3" x14ac:dyDescent="0.25">
      <c r="A196" s="4" t="s">
        <v>9</v>
      </c>
      <c r="B196" s="5" t="s">
        <v>10</v>
      </c>
      <c r="C196" s="4">
        <v>2</v>
      </c>
    </row>
    <row r="197" spans="1:3" x14ac:dyDescent="0.25">
      <c r="A197" s="4" t="s">
        <v>11</v>
      </c>
      <c r="B197" s="5" t="s">
        <v>12</v>
      </c>
      <c r="C197" s="4">
        <v>2</v>
      </c>
    </row>
    <row r="198" spans="1:3" x14ac:dyDescent="0.25">
      <c r="A198" s="6">
        <v>40</v>
      </c>
      <c r="B198" s="7" t="s">
        <v>48</v>
      </c>
      <c r="C198" s="6">
        <f>SUM(C199:C202)</f>
        <v>8</v>
      </c>
    </row>
    <row r="199" spans="1:3" x14ac:dyDescent="0.25">
      <c r="A199" s="8" t="s">
        <v>5</v>
      </c>
      <c r="B199" s="9" t="s">
        <v>6</v>
      </c>
      <c r="C199" s="8">
        <v>2</v>
      </c>
    </row>
    <row r="200" spans="1:3" x14ac:dyDescent="0.25">
      <c r="A200" s="8" t="s">
        <v>7</v>
      </c>
      <c r="B200" s="9" t="s">
        <v>8</v>
      </c>
      <c r="C200" s="8">
        <v>2</v>
      </c>
    </row>
    <row r="201" spans="1:3" x14ac:dyDescent="0.25">
      <c r="A201" s="8" t="s">
        <v>9</v>
      </c>
      <c r="B201" s="9" t="s">
        <v>10</v>
      </c>
      <c r="C201" s="8">
        <v>2</v>
      </c>
    </row>
    <row r="202" spans="1:3" x14ac:dyDescent="0.25">
      <c r="A202" s="8" t="s">
        <v>11</v>
      </c>
      <c r="B202" s="9" t="s">
        <v>12</v>
      </c>
      <c r="C202" s="8">
        <v>2</v>
      </c>
    </row>
    <row r="203" spans="1:3" x14ac:dyDescent="0.25">
      <c r="A203" s="2">
        <v>41</v>
      </c>
      <c r="B203" s="3" t="s">
        <v>49</v>
      </c>
      <c r="C203" s="2">
        <f>SUM(C204:C207)</f>
        <v>30</v>
      </c>
    </row>
    <row r="204" spans="1:3" x14ac:dyDescent="0.25">
      <c r="A204" s="4" t="s">
        <v>5</v>
      </c>
      <c r="B204" s="5" t="s">
        <v>6</v>
      </c>
      <c r="C204" s="4">
        <v>10</v>
      </c>
    </row>
    <row r="205" spans="1:3" x14ac:dyDescent="0.25">
      <c r="A205" s="4" t="s">
        <v>7</v>
      </c>
      <c r="B205" s="5" t="s">
        <v>8</v>
      </c>
      <c r="C205" s="4">
        <v>10</v>
      </c>
    </row>
    <row r="206" spans="1:3" x14ac:dyDescent="0.25">
      <c r="A206" s="4" t="s">
        <v>9</v>
      </c>
      <c r="B206" s="5" t="s">
        <v>10</v>
      </c>
      <c r="C206" s="4">
        <v>5</v>
      </c>
    </row>
    <row r="207" spans="1:3" x14ac:dyDescent="0.25">
      <c r="A207" s="4" t="s">
        <v>11</v>
      </c>
      <c r="B207" s="5" t="s">
        <v>12</v>
      </c>
      <c r="C207" s="4">
        <v>5</v>
      </c>
    </row>
    <row r="208" spans="1:3" x14ac:dyDescent="0.25">
      <c r="A208" s="6">
        <v>42</v>
      </c>
      <c r="B208" s="7" t="s">
        <v>50</v>
      </c>
      <c r="C208" s="6">
        <f>SUM(C209:C212)</f>
        <v>20</v>
      </c>
    </row>
    <row r="209" spans="1:3" x14ac:dyDescent="0.25">
      <c r="A209" s="8" t="s">
        <v>5</v>
      </c>
      <c r="B209" s="9" t="s">
        <v>6</v>
      </c>
      <c r="C209" s="8">
        <v>5</v>
      </c>
    </row>
    <row r="210" spans="1:3" x14ac:dyDescent="0.25">
      <c r="A210" s="8" t="s">
        <v>7</v>
      </c>
      <c r="B210" s="9" t="s">
        <v>8</v>
      </c>
      <c r="C210" s="8">
        <v>5</v>
      </c>
    </row>
    <row r="211" spans="1:3" x14ac:dyDescent="0.25">
      <c r="A211" s="8" t="s">
        <v>9</v>
      </c>
      <c r="B211" s="9" t="s">
        <v>10</v>
      </c>
      <c r="C211" s="8">
        <v>5</v>
      </c>
    </row>
    <row r="212" spans="1:3" x14ac:dyDescent="0.25">
      <c r="A212" s="8" t="s">
        <v>11</v>
      </c>
      <c r="B212" s="9" t="s">
        <v>12</v>
      </c>
      <c r="C212" s="8">
        <v>5</v>
      </c>
    </row>
    <row r="213" spans="1:3" x14ac:dyDescent="0.25">
      <c r="A213" s="2">
        <v>43</v>
      </c>
      <c r="B213" s="3" t="s">
        <v>51</v>
      </c>
      <c r="C213" s="2">
        <f>SUM(C214:C217)</f>
        <v>30</v>
      </c>
    </row>
    <row r="214" spans="1:3" x14ac:dyDescent="0.25">
      <c r="A214" s="4" t="s">
        <v>5</v>
      </c>
      <c r="B214" s="5" t="s">
        <v>6</v>
      </c>
      <c r="C214" s="4">
        <v>10</v>
      </c>
    </row>
    <row r="215" spans="1:3" x14ac:dyDescent="0.25">
      <c r="A215" s="4" t="s">
        <v>7</v>
      </c>
      <c r="B215" s="5" t="s">
        <v>8</v>
      </c>
      <c r="C215" s="4">
        <v>10</v>
      </c>
    </row>
    <row r="216" spans="1:3" x14ac:dyDescent="0.25">
      <c r="A216" s="4" t="s">
        <v>9</v>
      </c>
      <c r="B216" s="5" t="s">
        <v>10</v>
      </c>
      <c r="C216" s="4">
        <v>5</v>
      </c>
    </row>
    <row r="217" spans="1:3" x14ac:dyDescent="0.25">
      <c r="A217" s="4" t="s">
        <v>11</v>
      </c>
      <c r="B217" s="5" t="s">
        <v>12</v>
      </c>
      <c r="C217" s="4">
        <v>5</v>
      </c>
    </row>
    <row r="218" spans="1:3" x14ac:dyDescent="0.25">
      <c r="A218" s="6">
        <v>44</v>
      </c>
      <c r="B218" s="7" t="s">
        <v>52</v>
      </c>
      <c r="C218" s="6">
        <f>SUM(C219:C222)</f>
        <v>30</v>
      </c>
    </row>
    <row r="219" spans="1:3" x14ac:dyDescent="0.25">
      <c r="A219" s="8" t="s">
        <v>5</v>
      </c>
      <c r="B219" s="9" t="s">
        <v>6</v>
      </c>
      <c r="C219" s="8">
        <v>10</v>
      </c>
    </row>
    <row r="220" spans="1:3" x14ac:dyDescent="0.25">
      <c r="A220" s="8" t="s">
        <v>7</v>
      </c>
      <c r="B220" s="9" t="s">
        <v>8</v>
      </c>
      <c r="C220" s="8">
        <v>10</v>
      </c>
    </row>
    <row r="221" spans="1:3" x14ac:dyDescent="0.25">
      <c r="A221" s="8" t="s">
        <v>9</v>
      </c>
      <c r="B221" s="9" t="s">
        <v>10</v>
      </c>
      <c r="C221" s="8">
        <v>5</v>
      </c>
    </row>
    <row r="222" spans="1:3" x14ac:dyDescent="0.25">
      <c r="A222" s="8" t="s">
        <v>11</v>
      </c>
      <c r="B222" s="9" t="s">
        <v>12</v>
      </c>
      <c r="C222" s="8">
        <v>5</v>
      </c>
    </row>
    <row r="223" spans="1:3" x14ac:dyDescent="0.25">
      <c r="A223" s="2">
        <v>45</v>
      </c>
      <c r="B223" s="3" t="s">
        <v>53</v>
      </c>
      <c r="C223" s="2">
        <f>SUM(C224:C227)</f>
        <v>50</v>
      </c>
    </row>
    <row r="224" spans="1:3" x14ac:dyDescent="0.25">
      <c r="A224" s="4" t="s">
        <v>5</v>
      </c>
      <c r="B224" s="5" t="s">
        <v>6</v>
      </c>
      <c r="C224" s="4">
        <v>15</v>
      </c>
    </row>
    <row r="225" spans="1:3" x14ac:dyDescent="0.25">
      <c r="A225" s="4" t="s">
        <v>7</v>
      </c>
      <c r="B225" s="5" t="s">
        <v>8</v>
      </c>
      <c r="C225" s="4">
        <v>15</v>
      </c>
    </row>
    <row r="226" spans="1:3" x14ac:dyDescent="0.25">
      <c r="A226" s="4" t="s">
        <v>9</v>
      </c>
      <c r="B226" s="5" t="s">
        <v>10</v>
      </c>
      <c r="C226" s="4">
        <v>10</v>
      </c>
    </row>
    <row r="227" spans="1:3" x14ac:dyDescent="0.25">
      <c r="A227" s="4" t="s">
        <v>11</v>
      </c>
      <c r="B227" s="5" t="s">
        <v>12</v>
      </c>
      <c r="C227" s="4">
        <v>10</v>
      </c>
    </row>
    <row r="228" spans="1:3" x14ac:dyDescent="0.25">
      <c r="A228" s="6">
        <v>46</v>
      </c>
      <c r="B228" s="7" t="s">
        <v>54</v>
      </c>
      <c r="C228" s="6">
        <f>SUM(C229:C232)</f>
        <v>22</v>
      </c>
    </row>
    <row r="229" spans="1:3" x14ac:dyDescent="0.25">
      <c r="A229" s="8" t="s">
        <v>5</v>
      </c>
      <c r="B229" s="9" t="s">
        <v>6</v>
      </c>
      <c r="C229" s="8">
        <v>10</v>
      </c>
    </row>
    <row r="230" spans="1:3" x14ac:dyDescent="0.25">
      <c r="A230" s="8" t="s">
        <v>7</v>
      </c>
      <c r="B230" s="9" t="s">
        <v>8</v>
      </c>
      <c r="C230" s="8">
        <v>2</v>
      </c>
    </row>
    <row r="231" spans="1:3" x14ac:dyDescent="0.25">
      <c r="A231" s="8" t="s">
        <v>9</v>
      </c>
      <c r="B231" s="9" t="s">
        <v>10</v>
      </c>
      <c r="C231" s="8">
        <v>5</v>
      </c>
    </row>
    <row r="232" spans="1:3" x14ac:dyDescent="0.25">
      <c r="A232" s="8" t="s">
        <v>11</v>
      </c>
      <c r="B232" s="9" t="s">
        <v>12</v>
      </c>
      <c r="C232" s="8">
        <v>5</v>
      </c>
    </row>
    <row r="233" spans="1:3" x14ac:dyDescent="0.25">
      <c r="A233" s="2">
        <v>47</v>
      </c>
      <c r="B233" s="3" t="s">
        <v>55</v>
      </c>
      <c r="C233" s="2">
        <f>SUM(C234:C237)</f>
        <v>4</v>
      </c>
    </row>
    <row r="234" spans="1:3" x14ac:dyDescent="0.25">
      <c r="A234" s="4" t="s">
        <v>5</v>
      </c>
      <c r="B234" s="5" t="s">
        <v>6</v>
      </c>
      <c r="C234" s="4">
        <v>1</v>
      </c>
    </row>
    <row r="235" spans="1:3" x14ac:dyDescent="0.25">
      <c r="A235" s="4" t="s">
        <v>7</v>
      </c>
      <c r="B235" s="5" t="s">
        <v>8</v>
      </c>
      <c r="C235" s="4">
        <v>1</v>
      </c>
    </row>
    <row r="236" spans="1:3" x14ac:dyDescent="0.25">
      <c r="A236" s="4" t="s">
        <v>9</v>
      </c>
      <c r="B236" s="5" t="s">
        <v>10</v>
      </c>
      <c r="C236" s="4">
        <v>1</v>
      </c>
    </row>
    <row r="237" spans="1:3" x14ac:dyDescent="0.25">
      <c r="A237" s="4" t="s">
        <v>11</v>
      </c>
      <c r="B237" s="5" t="s">
        <v>12</v>
      </c>
      <c r="C237" s="4">
        <v>1</v>
      </c>
    </row>
    <row r="238" spans="1:3" x14ac:dyDescent="0.25">
      <c r="A238" s="6">
        <v>48</v>
      </c>
      <c r="B238" s="7" t="s">
        <v>56</v>
      </c>
      <c r="C238" s="6">
        <f>SUM(C239:C242)</f>
        <v>4</v>
      </c>
    </row>
    <row r="239" spans="1:3" x14ac:dyDescent="0.25">
      <c r="A239" s="8" t="s">
        <v>5</v>
      </c>
      <c r="B239" s="9" t="s">
        <v>6</v>
      </c>
      <c r="C239" s="8">
        <v>1</v>
      </c>
    </row>
    <row r="240" spans="1:3" x14ac:dyDescent="0.25">
      <c r="A240" s="8" t="s">
        <v>7</v>
      </c>
      <c r="B240" s="9" t="s">
        <v>8</v>
      </c>
      <c r="C240" s="8">
        <v>1</v>
      </c>
    </row>
    <row r="241" spans="1:3" x14ac:dyDescent="0.25">
      <c r="A241" s="8" t="s">
        <v>9</v>
      </c>
      <c r="B241" s="9" t="s">
        <v>10</v>
      </c>
      <c r="C241" s="8">
        <v>1</v>
      </c>
    </row>
    <row r="242" spans="1:3" x14ac:dyDescent="0.25">
      <c r="A242" s="8" t="s">
        <v>11</v>
      </c>
      <c r="B242" s="9" t="s">
        <v>12</v>
      </c>
      <c r="C242" s="8">
        <v>1</v>
      </c>
    </row>
    <row r="243" spans="1:3" x14ac:dyDescent="0.25">
      <c r="A243" s="2">
        <v>49</v>
      </c>
      <c r="B243" s="3" t="s">
        <v>57</v>
      </c>
      <c r="C243" s="2">
        <f>SUM(C244:C247)</f>
        <v>30</v>
      </c>
    </row>
    <row r="244" spans="1:3" x14ac:dyDescent="0.25">
      <c r="A244" s="4" t="s">
        <v>5</v>
      </c>
      <c r="B244" s="5" t="s">
        <v>6</v>
      </c>
      <c r="C244" s="4">
        <v>10</v>
      </c>
    </row>
    <row r="245" spans="1:3" x14ac:dyDescent="0.25">
      <c r="A245" s="4" t="s">
        <v>7</v>
      </c>
      <c r="B245" s="5" t="s">
        <v>8</v>
      </c>
      <c r="C245" s="4">
        <v>10</v>
      </c>
    </row>
    <row r="246" spans="1:3" x14ac:dyDescent="0.25">
      <c r="A246" s="4" t="s">
        <v>9</v>
      </c>
      <c r="B246" s="5" t="s">
        <v>10</v>
      </c>
      <c r="C246" s="4">
        <v>5</v>
      </c>
    </row>
    <row r="247" spans="1:3" x14ac:dyDescent="0.25">
      <c r="A247" s="4" t="s">
        <v>11</v>
      </c>
      <c r="B247" s="5" t="s">
        <v>12</v>
      </c>
      <c r="C247" s="4">
        <v>5</v>
      </c>
    </row>
    <row r="248" spans="1:3" x14ac:dyDescent="0.25">
      <c r="A248" s="6">
        <v>50</v>
      </c>
      <c r="B248" s="7" t="s">
        <v>58</v>
      </c>
      <c r="C248" s="6">
        <f>SUM(C249:C252)</f>
        <v>14</v>
      </c>
    </row>
    <row r="249" spans="1:3" x14ac:dyDescent="0.25">
      <c r="A249" s="8" t="s">
        <v>5</v>
      </c>
      <c r="B249" s="9" t="s">
        <v>6</v>
      </c>
      <c r="C249" s="8">
        <v>5</v>
      </c>
    </row>
    <row r="250" spans="1:3" x14ac:dyDescent="0.25">
      <c r="A250" s="8" t="s">
        <v>7</v>
      </c>
      <c r="B250" s="9" t="s">
        <v>8</v>
      </c>
      <c r="C250" s="8">
        <v>5</v>
      </c>
    </row>
    <row r="251" spans="1:3" x14ac:dyDescent="0.25">
      <c r="A251" s="8" t="s">
        <v>9</v>
      </c>
      <c r="B251" s="9" t="s">
        <v>10</v>
      </c>
      <c r="C251" s="8">
        <v>2</v>
      </c>
    </row>
    <row r="252" spans="1:3" x14ac:dyDescent="0.25">
      <c r="A252" s="8" t="s">
        <v>11</v>
      </c>
      <c r="B252" s="9" t="s">
        <v>12</v>
      </c>
      <c r="C252" s="8">
        <v>2</v>
      </c>
    </row>
    <row r="253" spans="1:3" x14ac:dyDescent="0.25">
      <c r="A253" s="2">
        <v>51</v>
      </c>
      <c r="B253" s="3" t="s">
        <v>59</v>
      </c>
      <c r="C253" s="2">
        <f>SUM(C254:C257)</f>
        <v>25</v>
      </c>
    </row>
    <row r="254" spans="1:3" x14ac:dyDescent="0.25">
      <c r="A254" s="4" t="s">
        <v>5</v>
      </c>
      <c r="B254" s="5" t="s">
        <v>6</v>
      </c>
      <c r="C254" s="4">
        <v>10</v>
      </c>
    </row>
    <row r="255" spans="1:3" x14ac:dyDescent="0.25">
      <c r="A255" s="4" t="s">
        <v>7</v>
      </c>
      <c r="B255" s="5" t="s">
        <v>8</v>
      </c>
      <c r="C255" s="4">
        <v>5</v>
      </c>
    </row>
    <row r="256" spans="1:3" x14ac:dyDescent="0.25">
      <c r="A256" s="4" t="s">
        <v>9</v>
      </c>
      <c r="B256" s="5" t="s">
        <v>10</v>
      </c>
      <c r="C256" s="4">
        <v>5</v>
      </c>
    </row>
    <row r="257" spans="1:3" x14ac:dyDescent="0.25">
      <c r="A257" s="4" t="s">
        <v>11</v>
      </c>
      <c r="B257" s="5" t="s">
        <v>12</v>
      </c>
      <c r="C257" s="4">
        <v>5</v>
      </c>
    </row>
    <row r="258" spans="1:3" x14ac:dyDescent="0.25">
      <c r="A258" s="6">
        <v>52</v>
      </c>
      <c r="B258" s="7" t="s">
        <v>60</v>
      </c>
      <c r="C258" s="6">
        <f>SUM(C259:C262)</f>
        <v>27</v>
      </c>
    </row>
    <row r="259" spans="1:3" x14ac:dyDescent="0.25">
      <c r="A259" s="8" t="s">
        <v>5</v>
      </c>
      <c r="B259" s="9" t="s">
        <v>6</v>
      </c>
      <c r="C259" s="8">
        <v>10</v>
      </c>
    </row>
    <row r="260" spans="1:3" x14ac:dyDescent="0.25">
      <c r="A260" s="8" t="s">
        <v>7</v>
      </c>
      <c r="B260" s="9" t="s">
        <v>8</v>
      </c>
      <c r="C260" s="8">
        <v>5</v>
      </c>
    </row>
    <row r="261" spans="1:3" x14ac:dyDescent="0.25">
      <c r="A261" s="8" t="s">
        <v>9</v>
      </c>
      <c r="B261" s="9" t="s">
        <v>10</v>
      </c>
      <c r="C261" s="8">
        <v>7</v>
      </c>
    </row>
    <row r="262" spans="1:3" x14ac:dyDescent="0.25">
      <c r="A262" s="8" t="s">
        <v>11</v>
      </c>
      <c r="B262" s="9" t="s">
        <v>12</v>
      </c>
      <c r="C262" s="8">
        <v>5</v>
      </c>
    </row>
    <row r="263" spans="1:3" x14ac:dyDescent="0.25">
      <c r="A263" s="2">
        <v>53</v>
      </c>
      <c r="B263" s="3" t="s">
        <v>61</v>
      </c>
      <c r="C263" s="2">
        <f>SUM(C264:C267)</f>
        <v>14</v>
      </c>
    </row>
    <row r="264" spans="1:3" x14ac:dyDescent="0.25">
      <c r="A264" s="4" t="s">
        <v>5</v>
      </c>
      <c r="B264" s="5" t="s">
        <v>6</v>
      </c>
      <c r="C264" s="4">
        <v>5</v>
      </c>
    </row>
    <row r="265" spans="1:3" x14ac:dyDescent="0.25">
      <c r="A265" s="4" t="s">
        <v>7</v>
      </c>
      <c r="B265" s="5" t="s">
        <v>8</v>
      </c>
      <c r="C265" s="4">
        <v>2</v>
      </c>
    </row>
    <row r="266" spans="1:3" x14ac:dyDescent="0.25">
      <c r="A266" s="4" t="s">
        <v>9</v>
      </c>
      <c r="B266" s="5" t="s">
        <v>10</v>
      </c>
      <c r="C266" s="4">
        <v>5</v>
      </c>
    </row>
    <row r="267" spans="1:3" x14ac:dyDescent="0.25">
      <c r="A267" s="4" t="s">
        <v>11</v>
      </c>
      <c r="B267" s="5" t="s">
        <v>12</v>
      </c>
      <c r="C267" s="4">
        <v>2</v>
      </c>
    </row>
    <row r="268" spans="1:3" x14ac:dyDescent="0.25">
      <c r="A268" s="6">
        <v>54</v>
      </c>
      <c r="B268" s="7" t="s">
        <v>62</v>
      </c>
      <c r="C268" s="6">
        <f>SUM(C269:C272)</f>
        <v>14</v>
      </c>
    </row>
    <row r="269" spans="1:3" x14ac:dyDescent="0.25">
      <c r="A269" s="8" t="s">
        <v>5</v>
      </c>
      <c r="B269" s="9" t="s">
        <v>6</v>
      </c>
      <c r="C269" s="8">
        <v>5</v>
      </c>
    </row>
    <row r="270" spans="1:3" x14ac:dyDescent="0.25">
      <c r="A270" s="8" t="s">
        <v>7</v>
      </c>
      <c r="B270" s="9" t="s">
        <v>8</v>
      </c>
      <c r="C270" s="8">
        <v>5</v>
      </c>
    </row>
    <row r="271" spans="1:3" x14ac:dyDescent="0.25">
      <c r="A271" s="8" t="s">
        <v>9</v>
      </c>
      <c r="B271" s="9" t="s">
        <v>10</v>
      </c>
      <c r="C271" s="8">
        <v>2</v>
      </c>
    </row>
    <row r="272" spans="1:3" x14ac:dyDescent="0.25">
      <c r="A272" s="8" t="s">
        <v>11</v>
      </c>
      <c r="B272" s="9" t="s">
        <v>12</v>
      </c>
      <c r="C272" s="8">
        <v>2</v>
      </c>
    </row>
    <row r="273" spans="1:3" x14ac:dyDescent="0.25">
      <c r="A273" s="2">
        <v>55</v>
      </c>
      <c r="B273" s="3" t="s">
        <v>63</v>
      </c>
      <c r="C273" s="2">
        <f>SUM(C274:C277)</f>
        <v>30</v>
      </c>
    </row>
    <row r="274" spans="1:3" x14ac:dyDescent="0.25">
      <c r="A274" s="4" t="s">
        <v>5</v>
      </c>
      <c r="B274" s="5" t="s">
        <v>6</v>
      </c>
      <c r="C274" s="4">
        <v>10</v>
      </c>
    </row>
    <row r="275" spans="1:3" x14ac:dyDescent="0.25">
      <c r="A275" s="4" t="s">
        <v>7</v>
      </c>
      <c r="B275" s="5" t="s">
        <v>8</v>
      </c>
      <c r="C275" s="4">
        <v>10</v>
      </c>
    </row>
    <row r="276" spans="1:3" x14ac:dyDescent="0.25">
      <c r="A276" s="4" t="s">
        <v>9</v>
      </c>
      <c r="B276" s="5" t="s">
        <v>10</v>
      </c>
      <c r="C276" s="4">
        <v>5</v>
      </c>
    </row>
    <row r="277" spans="1:3" x14ac:dyDescent="0.25">
      <c r="A277" s="4" t="s">
        <v>11</v>
      </c>
      <c r="B277" s="5" t="s">
        <v>12</v>
      </c>
      <c r="C277" s="4">
        <v>5</v>
      </c>
    </row>
    <row r="278" spans="1:3" x14ac:dyDescent="0.25">
      <c r="A278" s="18">
        <v>56</v>
      </c>
      <c r="B278" s="20" t="s">
        <v>81</v>
      </c>
      <c r="C278" s="18">
        <v>11</v>
      </c>
    </row>
    <row r="279" spans="1:3" x14ac:dyDescent="0.25">
      <c r="A279" s="4" t="s">
        <v>5</v>
      </c>
      <c r="B279" s="5" t="s">
        <v>6</v>
      </c>
      <c r="C279" s="4">
        <v>5</v>
      </c>
    </row>
    <row r="280" spans="1:3" x14ac:dyDescent="0.25">
      <c r="A280" s="4" t="s">
        <v>7</v>
      </c>
      <c r="B280" s="5" t="s">
        <v>8</v>
      </c>
      <c r="C280" s="4">
        <v>2</v>
      </c>
    </row>
    <row r="281" spans="1:3" x14ac:dyDescent="0.25">
      <c r="A281" s="4" t="s">
        <v>9</v>
      </c>
      <c r="B281" s="5" t="s">
        <v>10</v>
      </c>
      <c r="C281" s="4">
        <v>2</v>
      </c>
    </row>
    <row r="282" spans="1:3" x14ac:dyDescent="0.25">
      <c r="A282" s="4" t="s">
        <v>11</v>
      </c>
      <c r="B282" s="5" t="s">
        <v>12</v>
      </c>
      <c r="C282" s="4">
        <v>2</v>
      </c>
    </row>
    <row r="283" spans="1:3" x14ac:dyDescent="0.25">
      <c r="A283" s="18">
        <v>57</v>
      </c>
      <c r="B283" s="20" t="s">
        <v>82</v>
      </c>
      <c r="C283" s="18">
        <v>30</v>
      </c>
    </row>
    <row r="284" spans="1:3" x14ac:dyDescent="0.25">
      <c r="A284" s="4" t="s">
        <v>5</v>
      </c>
      <c r="B284" s="5" t="s">
        <v>6</v>
      </c>
      <c r="C284" s="4">
        <v>10</v>
      </c>
    </row>
    <row r="285" spans="1:3" x14ac:dyDescent="0.25">
      <c r="A285" s="4" t="s">
        <v>7</v>
      </c>
      <c r="B285" s="5" t="s">
        <v>8</v>
      </c>
      <c r="C285" s="4">
        <v>10</v>
      </c>
    </row>
    <row r="286" spans="1:3" x14ac:dyDescent="0.25">
      <c r="A286" s="4" t="s">
        <v>9</v>
      </c>
      <c r="B286" s="5" t="s">
        <v>10</v>
      </c>
      <c r="C286" s="4">
        <v>5</v>
      </c>
    </row>
    <row r="287" spans="1:3" x14ac:dyDescent="0.25">
      <c r="A287" s="4" t="s">
        <v>11</v>
      </c>
      <c r="B287" s="5" t="s">
        <v>12</v>
      </c>
      <c r="C287" s="4">
        <v>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27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20" customWidth="1"/>
  </cols>
  <sheetData>
    <row r="1" spans="1:2" ht="16.5" x14ac:dyDescent="0.25">
      <c r="A1" s="22" t="s">
        <v>64</v>
      </c>
      <c r="B1" s="22"/>
    </row>
    <row r="3" spans="1:2" x14ac:dyDescent="0.25">
      <c r="A3" s="10" t="s">
        <v>65</v>
      </c>
      <c r="B3" s="10" t="s">
        <v>66</v>
      </c>
    </row>
    <row r="4" spans="1:2" x14ac:dyDescent="0.25">
      <c r="A4" s="11" t="s">
        <v>6</v>
      </c>
      <c r="B4" s="12">
        <f>SUMIF('Document Registration'!B:B,"API",'Document Registration'!C:C)</f>
        <v>264.5</v>
      </c>
    </row>
    <row r="5" spans="1:2" x14ac:dyDescent="0.25">
      <c r="A5" s="11" t="s">
        <v>8</v>
      </c>
      <c r="B5" s="12">
        <f>SUMIF('Document Registration'!B:B,"UI",'Document Registration'!C:C)</f>
        <v>225.5</v>
      </c>
    </row>
    <row r="6" spans="1:2" x14ac:dyDescent="0.25">
      <c r="A6" s="11" t="s">
        <v>10</v>
      </c>
      <c r="B6" s="12">
        <f>SUMIF('Document Registration'!B:B,"Code Review (CR)",'Document Registration'!C:C)</f>
        <v>154.5</v>
      </c>
    </row>
    <row r="7" spans="1:2" x14ac:dyDescent="0.25">
      <c r="A7" s="11" t="s">
        <v>12</v>
      </c>
      <c r="B7" s="12">
        <f>SUMIF('Document Registration'!B:B,"Testing (T)",'Document Registration'!C:C)</f>
        <v>156.5</v>
      </c>
    </row>
    <row r="8" spans="1:2" x14ac:dyDescent="0.25">
      <c r="A8" s="13" t="s">
        <v>67</v>
      </c>
      <c r="B8" s="14">
        <f>SUM(B4:B7)</f>
        <v>801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90" customWidth="1"/>
  </cols>
  <sheetData>
    <row r="1" spans="1:2" ht="15.75" x14ac:dyDescent="0.25">
      <c r="A1" s="15" t="s">
        <v>68</v>
      </c>
    </row>
    <row r="3" spans="1:2" x14ac:dyDescent="0.25">
      <c r="A3" s="16" t="s">
        <v>69</v>
      </c>
      <c r="B3" s="17" t="s">
        <v>70</v>
      </c>
    </row>
    <row r="4" spans="1:2" x14ac:dyDescent="0.25">
      <c r="A4" s="16" t="s">
        <v>71</v>
      </c>
      <c r="B4" s="17" t="s">
        <v>72</v>
      </c>
    </row>
    <row r="5" spans="1:2" x14ac:dyDescent="0.25">
      <c r="A5" s="16" t="s">
        <v>73</v>
      </c>
      <c r="B5" s="17" t="s">
        <v>74</v>
      </c>
    </row>
    <row r="6" spans="1:2" x14ac:dyDescent="0.25">
      <c r="A6" s="16" t="s">
        <v>75</v>
      </c>
      <c r="B6" s="17" t="s">
        <v>76</v>
      </c>
    </row>
    <row r="7" spans="1:2" x14ac:dyDescent="0.25">
      <c r="A7" s="16" t="s">
        <v>77</v>
      </c>
      <c r="B7" s="17" t="s">
        <v>78</v>
      </c>
    </row>
    <row r="8" spans="1:2" x14ac:dyDescent="0.25">
      <c r="A8" s="16"/>
      <c r="B8" s="17"/>
    </row>
    <row r="9" spans="1:2" ht="43.5" x14ac:dyDescent="0.25">
      <c r="A9" s="16" t="s">
        <v>79</v>
      </c>
      <c r="B9" s="17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Registration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2026-09-05T13:52:08Z</dcterms:created>
  <dcterms:modified xsi:type="dcterms:W3CDTF">2026-09-05T14:12:27Z</dcterms:modified>
  <dc:language>en-US</dc:language>
</cp:coreProperties>
</file>