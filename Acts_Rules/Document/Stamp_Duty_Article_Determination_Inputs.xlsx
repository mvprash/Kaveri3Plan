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Lookup_Lists" sheetId="2" state="visible" r:id="rId2"/>
    <sheet xmlns:r="http://schemas.openxmlformats.org/officeDocument/2006/relationships" name="Input_Catalogue" sheetId="3" state="visible" r:id="rId3"/>
    <sheet xmlns:r="http://schemas.openxmlformats.org/officeDocument/2006/relationships" name="Article_Rules" sheetId="4" state="visible" r:id="rId4"/>
    <sheet xmlns:r="http://schemas.openxmlformats.org/officeDocument/2006/relationships" name="Article_Input_Matrix" sheetId="5" state="visible" r:id="rId5"/>
    <sheet xmlns:r="http://schemas.openxmlformats.org/officeDocument/2006/relationships" name="Decision_Flow" sheetId="6" state="visible" r:id="rId6"/>
    <sheet xmlns:r="http://schemas.openxmlformats.org/officeDocument/2006/relationships" name="Family_Definitions" sheetId="7" state="visible" r:id="rId7"/>
    <sheet xmlns:r="http://schemas.openxmlformats.org/officeDocument/2006/relationships" name="Jurisdiction_Slab" sheetId="8" state="visible" r:id="rId8"/>
    <sheet xmlns:r="http://schemas.openxmlformats.org/officeDocument/2006/relationships" name="General_Rules" sheetId="9" state="visible" r:id="rId9"/>
    <sheet xmlns:r="http://schemas.openxmlformats.org/officeDocument/2006/relationships" name="Worked_Examples" sheetId="10" state="visible" r:id="rId10"/>
  </sheets>
  <definedNames>
    <definedName name="_xlnm._FilterDatabase" localSheetId="2" hidden="1">'Input_Catalogue'!$A$1:$J$120</definedName>
    <definedName name="_xlnm._FilterDatabase" localSheetId="3" hidden="1">'Article_Rules'!$A$1:$Q$181</definedName>
    <definedName name="_xlnm._FilterDatabase" localSheetId="4" hidden="1">'Article_Input_Matrix'!$A$2:$DL$182</definedName>
    <definedName name="_xlnm._FilterDatabase" localSheetId="5" hidden="1">'Decision_Flow'!$A$1:$G$229</definedName>
    <definedName name="_xlnm._FilterDatabase" localSheetId="8" hidden="1">'General_Rules'!$A$1:$E$14</definedName>
    <definedName name="_xlnm._FilterDatabase" localSheetId="9" hidden="1">'Worked_Examples'!$A$1:$F$17</definedName>
  </definedNames>
  <calcPr calcId="124519" fullCalcOnLoad="1"/>
</workbook>
</file>

<file path=xl/styles.xml><?xml version="1.0" encoding="utf-8"?>
<styleSheet xmlns="http://schemas.openxmlformats.org/spreadsheetml/2006/main">
  <numFmts count="1">
    <numFmt numFmtId="164" formatCode="&quot;Rs. &quot;#,##0"/>
  </numFmts>
  <fonts count="8">
    <font>
      <name val="Calibri"/>
      <family val="2"/>
      <color theme="1"/>
      <sz val="11"/>
      <scheme val="minor"/>
    </font>
    <font>
      <b val="1"/>
    </font>
    <font>
      <b val="1"/>
      <color rgb="001F4E78"/>
      <sz val="13"/>
    </font>
    <font>
      <b val="1"/>
      <color rgb="00C00000"/>
    </font>
    <font>
      <b val="1"/>
      <color rgb="001F4E78"/>
      <sz val="12"/>
    </font>
    <font>
      <b val="1"/>
      <color rgb="00FFFFFF"/>
    </font>
    <font>
      <b val="1"/>
      <color rgb="001F4E78"/>
    </font>
    <font>
      <i val="1"/>
    </font>
  </fonts>
  <fills count="8">
    <fill>
      <patternFill/>
    </fill>
    <fill>
      <patternFill patternType="gray125"/>
    </fill>
    <fill>
      <patternFill patternType="solid">
        <fgColor rgb="001F4E78"/>
      </patternFill>
    </fill>
    <fill>
      <patternFill patternType="solid">
        <fgColor rgb="00DDEBF7"/>
      </patternFill>
    </fill>
    <fill>
      <patternFill patternType="solid">
        <fgColor rgb="00FFF2CC"/>
      </patternFill>
    </fill>
    <fill>
      <patternFill patternType="solid">
        <fgColor rgb="00F8CBAD"/>
      </patternFill>
    </fill>
    <fill>
      <patternFill patternType="solid">
        <fgColor rgb="00E2EFDA"/>
      </patternFill>
    </fill>
    <fill>
      <patternFill patternType="solid">
        <fgColor rgb="00FCE4D6"/>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vertical="top" wrapText="1"/>
    </xf>
    <xf numFmtId="0" fontId="0" fillId="3" borderId="1" applyAlignment="1" pivotButton="0" quotePrefix="0" xfId="0">
      <alignment vertical="top" wrapText="1"/>
    </xf>
    <xf numFmtId="0" fontId="1" fillId="0" borderId="1" applyAlignment="1" pivotButton="0" quotePrefix="0" xfId="0">
      <alignment vertical="top" wrapText="1"/>
    </xf>
    <xf numFmtId="0" fontId="0" fillId="4" borderId="1" applyAlignment="1" pivotButton="0" quotePrefix="0" xfId="0">
      <alignment vertical="top" wrapText="1"/>
    </xf>
    <xf numFmtId="0" fontId="1" fillId="0" borderId="0" pivotButton="0" quotePrefix="0" xfId="0"/>
    <xf numFmtId="0" fontId="5" fillId="2" borderId="1" applyAlignment="1" pivotButton="0" quotePrefix="0" xfId="0">
      <alignment horizontal="center" vertical="center" textRotation="90"/>
    </xf>
    <xf numFmtId="0" fontId="1" fillId="0" borderId="1" pivotButton="0" quotePrefix="0" xfId="0"/>
    <xf numFmtId="0" fontId="0" fillId="0"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6" fillId="0" borderId="1" applyAlignment="1" pivotButton="0" quotePrefix="0" xfId="0">
      <alignment vertical="top" wrapText="1"/>
    </xf>
    <xf numFmtId="0" fontId="1" fillId="0" borderId="0" applyAlignment="1" pivotButton="0" quotePrefix="0" xfId="0">
      <alignment/>
    </xf>
    <xf numFmtId="0" fontId="7" fillId="0" borderId="0" applyAlignment="1" pivotButton="0" quotePrefix="0" xfId="0">
      <alignment/>
    </xf>
    <xf numFmtId="164" fontId="0" fillId="0" borderId="1" applyAlignment="1" pivotButton="0" quotePrefix="0" xfId="0">
      <alignment vertical="top" wrapText="1"/>
    </xf>
    <xf numFmtId="0" fontId="7" fillId="0" borderId="0" pivotButton="0" quotePrefix="0" xfId="0"/>
    <xf numFmtId="0" fontId="6"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120" customWidth="1" min="2" max="2"/>
  </cols>
  <sheetData>
    <row r="1">
      <c r="A1" s="1" t="inlineStr">
        <is>
          <t>Title</t>
        </is>
      </c>
      <c r="B1" s="1" t="inlineStr">
        <is>
          <t>Stamp Duty - Article Determination &amp; Input Capture Matrix (Kaveri 3.0 - Document Registration)</t>
        </is>
      </c>
    </row>
    <row r="2">
      <c r="A2" s="2" t="inlineStr">
        <is>
          <t>Purpose</t>
        </is>
      </c>
      <c r="B2" s="3" t="inlineStr">
        <is>
          <t>Stamp duty depends on the Article of the Schedule under which the instrument falls. This workbook lists every input the system must capture, the rules that map those inputs to an Article / sub-clause, and the duty basis, so that the system can determine the Article automatically instead of relying on the citizen / operator to pick it.</t>
        </is>
      </c>
    </row>
    <row r="3">
      <c r="A3" s="2" t="inlineStr">
        <is>
          <t>Legal source</t>
        </is>
      </c>
      <c r="B3" s="3" t="inlineStr">
        <is>
          <t>Karnataka Stamp Act, 1957 - Sections 4, 5, 6, 45-A and the Schedule (consolidated up to 2022), files in Acts_Rules/Document: 'THE KARNATAKA STAMP ACT 1957.pdf', 'Karnataka Stamp Act 1957 Schedule 2022.pdf', Amendment Acts 2011 / 2012 / 2014.</t>
        </is>
      </c>
    </row>
    <row r="4">
      <c r="A4" s="2" t="inlineStr">
        <is>
          <t>Rate caution</t>
        </is>
      </c>
      <c r="B4" s="4" t="inlineStr">
        <is>
          <t>Duty rates are as printed in the 2022 consolidated Schedule in this folder. Any later amendment (e.g. Karnataka Stamp (Amendment) Act 2023 / 2024 revisions) is NOT in the folder and must be applied by the Department before configuring rates. Rows marked 'confirm with Department' had illegible / omitted text in the source copy.</t>
        </is>
      </c>
    </row>
    <row r="5">
      <c r="A5" s="2" t="inlineStr"/>
      <c r="B5" s="3" t="inlineStr"/>
    </row>
    <row r="6">
      <c r="A6" s="2" t="inlineStr">
        <is>
          <t>How the system decides</t>
        </is>
      </c>
      <c r="B6" s="3" t="inlineStr">
        <is>
          <t>0. One application = one transaction. Documents covering several distinct matters (Sec 5) are not handled by the system.
1. Ask GEN-01 Transaction intent -&gt; filter GEN-02 Nature of document.
2. Ask the questions in Decision_Flow for that nature, in step order.
3. The first terminal answer ('=&gt; rule') gives the Article / sub-clause (Article_Rules).
4. Capture the Calculation inputs listed for that rule and compute the duty.
5. Apply provisos / adjustments (earlier duty paid, caps) and exemptions.
6. Apply general rules (General_Rules sheet): multiple descriptions (Sec 6) = highest; several instruments of one sale (Sec 4) = principal pays full, others Rs.100; Sec 45-A market value check.</t>
        </is>
      </c>
    </row>
    <row r="7">
      <c r="A7" s="2" t="inlineStr"/>
      <c r="B7" s="3" t="inlineStr"/>
    </row>
    <row r="8">
      <c r="A8" s="2" t="inlineStr">
        <is>
          <t>Sheet: Lookup_Lists</t>
        </is>
      </c>
      <c r="B8" s="3" t="inlineStr">
        <is>
          <t>Dropdown values: Transaction intent, Nature of document (DN codes -&gt; Article), Agreement subject, POA purpose, Conveyance type, Local body limits, Relationship, Allotting authority, Form of security.</t>
        </is>
      </c>
    </row>
    <row r="9">
      <c r="A9" s="2" t="inlineStr">
        <is>
          <t>Sheet: Input_Catalogue</t>
        </is>
      </c>
      <c r="B9" s="3" t="inlineStr">
        <is>
          <t>Every field to capture: ID, group, label, question text, data type, allowed values, source (User / System), purpose (I = identifies the Article, C = needed to calculate duty, E = exemption / adjustment check) and the Articles that use it.</t>
        </is>
      </c>
    </row>
    <row r="10">
      <c r="A10" s="2" t="inlineStr">
        <is>
          <t>Sheet: Article_Rules</t>
        </is>
      </c>
      <c r="B10" s="3" t="inlineStr">
        <is>
          <t>One row per Article / sub-clause: identification conditions, identification inputs, calculation inputs, duty basis and rate, min / max, provisos, exemptions, Sec 45-A flag.</t>
        </is>
      </c>
    </row>
    <row r="11">
      <c r="A11" s="2" t="inlineStr">
        <is>
          <t>Sheet: Article_Input_Matrix</t>
        </is>
      </c>
      <c r="B11" s="3" t="inlineStr">
        <is>
          <t>Grid of Article rule vs Input ID. I = needed to identify, C = needed to calculate, I+C = both, E = exemption / adjustment check. Use it to build the dynamic capture screen per Article.</t>
        </is>
      </c>
    </row>
    <row r="12">
      <c r="A12" s="2" t="inlineStr">
        <is>
          <t>Sheet: Decision_Flow</t>
        </is>
      </c>
      <c r="B12" s="3" t="inlineStr">
        <is>
          <t>Question sequence per Nature of document with branching answers ending in '=&gt; Article'.</t>
        </is>
      </c>
    </row>
    <row r="13">
      <c r="A13" s="2" t="inlineStr">
        <is>
          <t>Sheet: Family_Definitions</t>
        </is>
      </c>
      <c r="B13" s="3" t="inlineStr">
        <is>
          <t>Family definition differs by Article (Gift, Settlement, Release, Lease, POA). The system must check the relationship against the correct column.</t>
        </is>
      </c>
    </row>
    <row r="14">
      <c r="A14" s="2" t="inlineStr">
        <is>
          <t>Sheet: Jurisdiction_Slab</t>
        </is>
      </c>
      <c r="B14" s="3" t="inlineStr">
        <is>
          <t>Fixed duty by local body limits for family Gift / Settlement / Release / Lease. If properties fall in more than one limit, the maximum applies.</t>
        </is>
      </c>
    </row>
    <row r="15">
      <c r="A15" s="2" t="inlineStr">
        <is>
          <t>Sheet: General_Rules</t>
        </is>
      </c>
      <c r="B15" s="3" t="inlineStr">
        <is>
          <t>Act-level rules affecting Article selection and calculation.</t>
        </is>
      </c>
    </row>
    <row r="16">
      <c r="A16" s="2" t="inlineStr">
        <is>
          <t>Sheet: Worked_Examples</t>
        </is>
      </c>
      <c r="B16" s="3" t="inlineStr">
        <is>
          <t>Test cases: inputs -&gt; expected Article and duty (for UAT).</t>
        </is>
      </c>
    </row>
    <row r="17">
      <c r="A17" s="2" t="inlineStr"/>
      <c r="B17" s="3" t="inlineStr"/>
    </row>
    <row r="18">
      <c r="A18" s="2" t="inlineStr">
        <is>
          <t>Counts</t>
        </is>
      </c>
      <c r="B18" s="3" t="inlineStr">
        <is>
          <t>12 intents, 59 document natures, 119 inputs, 180 Article / sub-clause rules, 16 worked examples.</t>
        </is>
      </c>
    </row>
    <row r="19">
      <c r="A19" s="2" t="inlineStr">
        <is>
          <t>Rules not reached by flow</t>
        </is>
      </c>
      <c r="B19" s="3" t="inlineStr">
        <is>
          <t>None - every rule is reachable from Decision_Flow.</t>
        </is>
      </c>
    </row>
    <row r="20">
      <c r="A20" s="2" t="inlineStr">
        <is>
          <t>Generator</t>
        </is>
      </c>
      <c r="B20" s="3" t="inlineStr">
        <is>
          <t>Regenerate with: python Acts_Rules/Document/_make_stamp_duty_article_inputs.py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8" defaultRowHeight="15"/>
  <cols>
    <col width="12" customWidth="1" min="1" max="1"/>
    <col width="70" customWidth="1" min="2" max="2"/>
    <col width="55" customWidth="1" min="3" max="3"/>
    <col width="16" customWidth="1" min="4" max="4"/>
  </cols>
  <sheetData>
    <row r="1">
      <c r="A1" s="5" t="inlineStr">
        <is>
          <t>Transaction Intent (GEN-01)</t>
        </is>
      </c>
    </row>
    <row r="2" ht="20" customHeight="1">
      <c r="A2" s="6" t="inlineStr">
        <is>
          <t>Code</t>
        </is>
      </c>
      <c r="B2" s="6" t="inlineStr">
        <is>
          <t>Intent</t>
        </is>
      </c>
    </row>
    <row r="3">
      <c r="A3" s="7" t="inlineStr">
        <is>
          <t>INT-01</t>
        </is>
      </c>
      <c r="B3" s="7" t="inlineStr">
        <is>
          <t>Transfer of ownership / rights in property</t>
        </is>
      </c>
    </row>
    <row r="4">
      <c r="A4" s="7" t="inlineStr">
        <is>
          <t>INT-02</t>
        </is>
      </c>
      <c r="B4" s="7" t="inlineStr">
        <is>
          <t>Security for loan / debt (mortgage, pledge, hypothecation, charge)</t>
        </is>
      </c>
    </row>
    <row r="5">
      <c r="A5" s="7" t="inlineStr">
        <is>
          <t>INT-03</t>
        </is>
      </c>
      <c r="B5" s="7" t="inlineStr">
        <is>
          <t>Right to use property (lease / licence / hire)</t>
        </is>
      </c>
    </row>
    <row r="6">
      <c r="A6" s="7" t="inlineStr">
        <is>
          <t>INT-04</t>
        </is>
      </c>
      <c r="B6" s="7" t="inlineStr">
        <is>
          <t>Authorisation (Power of Attorney / appointment)</t>
        </is>
      </c>
    </row>
    <row r="7">
      <c r="A7" s="7" t="inlineStr">
        <is>
          <t>INT-05</t>
        </is>
      </c>
      <c r="B7" s="7" t="inlineStr">
        <is>
          <t>Division / distribution of property (partition, settlement, trust)</t>
        </is>
      </c>
    </row>
    <row r="8">
      <c r="A8" s="7" t="inlineStr">
        <is>
          <t>INT-06</t>
        </is>
      </c>
      <c r="B8" s="7" t="inlineStr">
        <is>
          <t>Business entity / company / securities</t>
        </is>
      </c>
    </row>
    <row r="9">
      <c r="A9" s="7" t="inlineStr">
        <is>
          <t>INT-07</t>
        </is>
      </c>
      <c r="B9" s="7" t="inlineStr">
        <is>
          <t>Agreement / contract</t>
        </is>
      </c>
    </row>
    <row r="10">
      <c r="A10" s="7" t="inlineStr">
        <is>
          <t>INT-08</t>
        </is>
      </c>
      <c r="B10" s="7" t="inlineStr">
        <is>
          <t>Cancellation / release / surrender / revocation</t>
        </is>
      </c>
    </row>
    <row r="11">
      <c r="A11" s="7" t="inlineStr">
        <is>
          <t>INT-09</t>
        </is>
      </c>
      <c r="B11" s="7" t="inlineStr">
        <is>
          <t>Bonds and guarantees</t>
        </is>
      </c>
    </row>
    <row r="12">
      <c r="A12" s="7" t="inlineStr">
        <is>
          <t>INT-10</t>
        </is>
      </c>
      <c r="B12" s="7" t="inlineStr">
        <is>
          <t>Personal / family status (adoption, divorce)</t>
        </is>
      </c>
    </row>
    <row r="13">
      <c r="A13" s="7" t="inlineStr">
        <is>
          <t>INT-11</t>
        </is>
      </c>
      <c r="B13" s="7" t="inlineStr">
        <is>
          <t>Declarations, certificates, copies and notarial instruments</t>
        </is>
      </c>
    </row>
    <row r="14">
      <c r="A14" s="7" t="inlineStr">
        <is>
          <t>INT-12</t>
        </is>
      </c>
      <c r="B14" s="7" t="inlineStr">
        <is>
          <t>Shipping, goods and trade documents</t>
        </is>
      </c>
    </row>
    <row r="16">
      <c r="A16" s="5" t="inlineStr">
        <is>
          <t>Nature of Document (GEN-02)</t>
        </is>
      </c>
    </row>
    <row r="17" ht="20" customHeight="1">
      <c r="A17" s="6" t="inlineStr">
        <is>
          <t>Code</t>
        </is>
      </c>
      <c r="B17" s="6" t="inlineStr">
        <is>
          <t>Nature of Document</t>
        </is>
      </c>
      <c r="C17" s="6" t="inlineStr">
        <is>
          <t>Intent</t>
        </is>
      </c>
      <c r="D17" s="6" t="inlineStr">
        <is>
          <t>Article(s)</t>
        </is>
      </c>
    </row>
    <row r="18">
      <c r="A18" s="7" t="inlineStr">
        <is>
          <t>DN-01</t>
        </is>
      </c>
      <c r="B18" s="7" t="inlineStr">
        <is>
          <t>Acknowledgement</t>
        </is>
      </c>
      <c r="C18" s="7" t="inlineStr">
        <is>
          <t>INT-11 - Declarations, certificates, copies and notarial instruments</t>
        </is>
      </c>
      <c r="D18" s="7" t="inlineStr">
        <is>
          <t>1</t>
        </is>
      </c>
    </row>
    <row r="19">
      <c r="A19" s="7" t="inlineStr">
        <is>
          <t>DN-02</t>
        </is>
      </c>
      <c r="B19" s="7" t="inlineStr">
        <is>
          <t>Administration Bond</t>
        </is>
      </c>
      <c r="C19" s="7" t="inlineStr">
        <is>
          <t>INT-09 - Bonds and guarantees</t>
        </is>
      </c>
      <c r="D19" s="7" t="inlineStr">
        <is>
          <t>2</t>
        </is>
      </c>
    </row>
    <row r="20">
      <c r="A20" s="7" t="inlineStr">
        <is>
          <t>DN-03</t>
        </is>
      </c>
      <c r="B20" s="7" t="inlineStr">
        <is>
          <t>Adoption Deed / Authority to Adopt</t>
        </is>
      </c>
      <c r="C20" s="7" t="inlineStr">
        <is>
          <t>INT-10 - Personal / family status (adoption, divorce)</t>
        </is>
      </c>
      <c r="D20" s="7" t="inlineStr">
        <is>
          <t>3</t>
        </is>
      </c>
    </row>
    <row r="21">
      <c r="A21" s="7" t="inlineStr">
        <is>
          <t>DN-04</t>
        </is>
      </c>
      <c r="B21" s="7" t="inlineStr">
        <is>
          <t>Affidavit / Declaration</t>
        </is>
      </c>
      <c r="C21" s="7" t="inlineStr">
        <is>
          <t>INT-11 - Declarations, certificates, copies and notarial instruments</t>
        </is>
      </c>
      <c r="D21" s="7" t="inlineStr">
        <is>
          <t>4</t>
        </is>
      </c>
    </row>
    <row r="22">
      <c r="A22" s="7" t="inlineStr">
        <is>
          <t>DN-05</t>
        </is>
      </c>
      <c r="B22" s="7" t="inlineStr">
        <is>
          <t>Agreement / Memorandum of Agreement</t>
        </is>
      </c>
      <c r="C22" s="7" t="inlineStr">
        <is>
          <t>INT-07 - Agreement / contract</t>
        </is>
      </c>
      <c r="D22" s="7" t="inlineStr">
        <is>
          <t>5</t>
        </is>
      </c>
    </row>
    <row r="23">
      <c r="A23" s="7" t="inlineStr">
        <is>
          <t>DN-06</t>
        </is>
      </c>
      <c r="B23" s="7" t="inlineStr">
        <is>
          <t>Deposit of Title Deeds / Pawn / Pledge</t>
        </is>
      </c>
      <c r="C23" s="7" t="inlineStr">
        <is>
          <t>INT-02 - Security for loan / debt (mortgage, pledge, hypothecation, charge)</t>
        </is>
      </c>
      <c r="D23" s="7" t="inlineStr">
        <is>
          <t>6</t>
        </is>
      </c>
    </row>
    <row r="24">
      <c r="A24" s="7" t="inlineStr">
        <is>
          <t>DN-07</t>
        </is>
      </c>
      <c r="B24" s="7" t="inlineStr">
        <is>
          <t>Appointment in Execution of a Power</t>
        </is>
      </c>
      <c r="C24" s="7" t="inlineStr">
        <is>
          <t>INT-04 - Authorisation (Power of Attorney / appointment)</t>
        </is>
      </c>
      <c r="D24" s="7" t="inlineStr">
        <is>
          <t>7</t>
        </is>
      </c>
    </row>
    <row r="25">
      <c r="A25" s="7" t="inlineStr">
        <is>
          <t>DN-08</t>
        </is>
      </c>
      <c r="B25" s="7" t="inlineStr">
        <is>
          <t>Appraisement / Valuation</t>
        </is>
      </c>
      <c r="C25" s="7" t="inlineStr">
        <is>
          <t>INT-11 - Declarations, certificates, copies and notarial instruments</t>
        </is>
      </c>
      <c r="D25" s="7" t="inlineStr">
        <is>
          <t>8</t>
        </is>
      </c>
    </row>
    <row r="26">
      <c r="A26" s="7" t="inlineStr">
        <is>
          <t>DN-09</t>
        </is>
      </c>
      <c r="B26" s="7" t="inlineStr">
        <is>
          <t>Apprenticeship Deed</t>
        </is>
      </c>
      <c r="C26" s="7" t="inlineStr">
        <is>
          <t>INT-07 - Agreement / contract</t>
        </is>
      </c>
      <c r="D26" s="7" t="inlineStr">
        <is>
          <t>9</t>
        </is>
      </c>
    </row>
    <row r="27">
      <c r="A27" s="7" t="inlineStr">
        <is>
          <t>DN-10</t>
        </is>
      </c>
      <c r="B27" s="7" t="inlineStr">
        <is>
          <t>Articles of Association</t>
        </is>
      </c>
      <c r="C27" s="7" t="inlineStr">
        <is>
          <t>INT-06 - Business entity / company / securities</t>
        </is>
      </c>
      <c r="D27" s="7" t="inlineStr">
        <is>
          <t>10</t>
        </is>
      </c>
    </row>
    <row r="28">
      <c r="A28" s="7" t="inlineStr">
        <is>
          <t>DN-11</t>
        </is>
      </c>
      <c r="B28" s="7" t="inlineStr">
        <is>
          <t>Award (Arbitration)</t>
        </is>
      </c>
      <c r="C28" s="7" t="inlineStr">
        <is>
          <t>INT-01 - Transfer of ownership / rights in property</t>
        </is>
      </c>
      <c r="D28" s="7" t="inlineStr">
        <is>
          <t>11</t>
        </is>
      </c>
    </row>
    <row r="29">
      <c r="A29" s="7" t="inlineStr">
        <is>
          <t>DN-12</t>
        </is>
      </c>
      <c r="B29" s="7" t="inlineStr">
        <is>
          <t>Bond</t>
        </is>
      </c>
      <c r="C29" s="7" t="inlineStr">
        <is>
          <t>INT-09 - Bonds and guarantees</t>
        </is>
      </c>
      <c r="D29" s="7" t="inlineStr">
        <is>
          <t>12</t>
        </is>
      </c>
    </row>
    <row r="30">
      <c r="A30" s="7" t="inlineStr">
        <is>
          <t>DN-13</t>
        </is>
      </c>
      <c r="B30" s="7" t="inlineStr">
        <is>
          <t>Bottomry Bond</t>
        </is>
      </c>
      <c r="C30" s="7" t="inlineStr">
        <is>
          <t>INT-12 - Shipping, goods and trade documents</t>
        </is>
      </c>
      <c r="D30" s="7" t="inlineStr">
        <is>
          <t>13</t>
        </is>
      </c>
    </row>
    <row r="31">
      <c r="A31" s="7" t="inlineStr">
        <is>
          <t>DN-14</t>
        </is>
      </c>
      <c r="B31" s="7" t="inlineStr">
        <is>
          <t>Cancellation of Instrument</t>
        </is>
      </c>
      <c r="C31" s="7" t="inlineStr">
        <is>
          <t>INT-08 - Cancellation / release / surrender / revocation</t>
        </is>
      </c>
      <c r="D31" s="7" t="inlineStr">
        <is>
          <t>14</t>
        </is>
      </c>
    </row>
    <row r="32">
      <c r="A32" s="7" t="inlineStr">
        <is>
          <t>DN-15</t>
        </is>
      </c>
      <c r="B32" s="7" t="inlineStr">
        <is>
          <t>Certificate of Sale (Public Auction)</t>
        </is>
      </c>
      <c r="C32" s="7" t="inlineStr">
        <is>
          <t>INT-01 - Transfer of ownership / rights in property</t>
        </is>
      </c>
      <c r="D32" s="7" t="inlineStr">
        <is>
          <t>15</t>
        </is>
      </c>
    </row>
    <row r="33">
      <c r="A33" s="7" t="inlineStr">
        <is>
          <t>DN-16</t>
        </is>
      </c>
      <c r="B33" s="7" t="inlineStr">
        <is>
          <t>Share Certificate / Document of title to shares</t>
        </is>
      </c>
      <c r="C33" s="7" t="inlineStr">
        <is>
          <t>INT-06 - Business entity / company / securities</t>
        </is>
      </c>
      <c r="D33" s="7" t="inlineStr">
        <is>
          <t>16</t>
        </is>
      </c>
    </row>
    <row r="34">
      <c r="A34" s="7" t="inlineStr">
        <is>
          <t>DN-17</t>
        </is>
      </c>
      <c r="B34" s="7" t="inlineStr">
        <is>
          <t>Certificate of Enrolment as Advocate</t>
        </is>
      </c>
      <c r="C34" s="7" t="inlineStr">
        <is>
          <t>INT-11 - Declarations, certificates, copies and notarial instruments</t>
        </is>
      </c>
      <c r="D34" s="7" t="inlineStr">
        <is>
          <t>17</t>
        </is>
      </c>
    </row>
    <row r="35">
      <c r="A35" s="7" t="inlineStr">
        <is>
          <t>DN-18</t>
        </is>
      </c>
      <c r="B35" s="7" t="inlineStr">
        <is>
          <t>Charter Party</t>
        </is>
      </c>
      <c r="C35" s="7" t="inlineStr">
        <is>
          <t>INT-12 - Shipping, goods and trade documents</t>
        </is>
      </c>
      <c r="D35" s="7" t="inlineStr">
        <is>
          <t>18</t>
        </is>
      </c>
    </row>
    <row r="36">
      <c r="A36" s="7" t="inlineStr">
        <is>
          <t>DN-19</t>
        </is>
      </c>
      <c r="B36" s="7" t="inlineStr">
        <is>
          <t>Clearance List (Stock Exchange)</t>
        </is>
      </c>
      <c r="C36" s="7" t="inlineStr">
        <is>
          <t>INT-06 - Business entity / company / securities</t>
        </is>
      </c>
      <c r="D36" s="7" t="inlineStr">
        <is>
          <t>18-A</t>
        </is>
      </c>
    </row>
    <row r="37">
      <c r="A37" s="7" t="inlineStr">
        <is>
          <t>DN-20</t>
        </is>
      </c>
      <c r="B37" s="7" t="inlineStr">
        <is>
          <t>Composition Deed</t>
        </is>
      </c>
      <c r="C37" s="7" t="inlineStr">
        <is>
          <t>INT-07 - Agreement / contract</t>
        </is>
      </c>
      <c r="D37" s="7" t="inlineStr">
        <is>
          <t>19</t>
        </is>
      </c>
    </row>
    <row r="38">
      <c r="A38" s="7" t="inlineStr">
        <is>
          <t>DN-21</t>
        </is>
      </c>
      <c r="B38" s="7" t="inlineStr">
        <is>
          <t>Conveyance / Sale Deed (incl. Flat, Amalgamation, Machinery, Securitisation, TDR)</t>
        </is>
      </c>
      <c r="C38" s="7" t="inlineStr">
        <is>
          <t>INT-01 - Transfer of ownership / rights in property</t>
        </is>
      </c>
      <c r="D38" s="7" t="inlineStr">
        <is>
          <t>20</t>
        </is>
      </c>
    </row>
    <row r="39">
      <c r="A39" s="7" t="inlineStr">
        <is>
          <t>DN-22</t>
        </is>
      </c>
      <c r="B39" s="7" t="inlineStr">
        <is>
          <t>Certified Copy / Extract</t>
        </is>
      </c>
      <c r="C39" s="7" t="inlineStr">
        <is>
          <t>INT-11 - Declarations, certificates, copies and notarial instruments</t>
        </is>
      </c>
      <c r="D39" s="7" t="inlineStr">
        <is>
          <t>21</t>
        </is>
      </c>
    </row>
    <row r="40">
      <c r="A40" s="7" t="inlineStr">
        <is>
          <t>DN-23</t>
        </is>
      </c>
      <c r="B40" s="7" t="inlineStr">
        <is>
          <t>Counterpart / Duplicate</t>
        </is>
      </c>
      <c r="C40" s="7" t="inlineStr">
        <is>
          <t>INT-11 - Declarations, certificates, copies and notarial instruments</t>
        </is>
      </c>
      <c r="D40" s="7" t="inlineStr">
        <is>
          <t>22</t>
        </is>
      </c>
    </row>
    <row r="41">
      <c r="A41" s="7" t="inlineStr">
        <is>
          <t>DN-24</t>
        </is>
      </c>
      <c r="B41" s="7" t="inlineStr">
        <is>
          <t>Customs / Excise Bond</t>
        </is>
      </c>
      <c r="C41" s="7" t="inlineStr">
        <is>
          <t>INT-09 - Bonds and guarantees</t>
        </is>
      </c>
      <c r="D41" s="7" t="inlineStr">
        <is>
          <t>23</t>
        </is>
      </c>
    </row>
    <row r="42">
      <c r="A42" s="7" t="inlineStr">
        <is>
          <t>DN-25</t>
        </is>
      </c>
      <c r="B42" s="7" t="inlineStr">
        <is>
          <t>Delivery Order (Goods)</t>
        </is>
      </c>
      <c r="C42" s="7" t="inlineStr">
        <is>
          <t>INT-12 - Shipping, goods and trade documents</t>
        </is>
      </c>
      <c r="D42" s="7" t="inlineStr">
        <is>
          <t>24</t>
        </is>
      </c>
    </row>
    <row r="43">
      <c r="A43" s="7" t="inlineStr">
        <is>
          <t>DN-26</t>
        </is>
      </c>
      <c r="B43" s="7" t="inlineStr">
        <is>
          <t>Divorce Instrument</t>
        </is>
      </c>
      <c r="C43" s="7" t="inlineStr">
        <is>
          <t>INT-10 - Personal / family status (adoption, divorce)</t>
        </is>
      </c>
      <c r="D43" s="7" t="inlineStr">
        <is>
          <t>25</t>
        </is>
      </c>
    </row>
    <row r="44">
      <c r="A44" s="7" t="inlineStr">
        <is>
          <t>DN-27</t>
        </is>
      </c>
      <c r="B44" s="7" t="inlineStr">
        <is>
          <t>Exchange of Property</t>
        </is>
      </c>
      <c r="C44" s="7" t="inlineStr">
        <is>
          <t>INT-01 - Transfer of ownership / rights in property</t>
        </is>
      </c>
      <c r="D44" s="7" t="inlineStr">
        <is>
          <t>26</t>
        </is>
      </c>
    </row>
    <row r="45">
      <c r="A45" s="7" t="inlineStr">
        <is>
          <t>DN-28</t>
        </is>
      </c>
      <c r="B45" s="7" t="inlineStr">
        <is>
          <t>Further Charge on Mortgaged Property</t>
        </is>
      </c>
      <c r="C45" s="7" t="inlineStr">
        <is>
          <t>INT-02 - Security for loan / debt (mortgage, pledge, hypothecation, charge)</t>
        </is>
      </c>
      <c r="D45" s="7" t="inlineStr">
        <is>
          <t>27</t>
        </is>
      </c>
    </row>
    <row r="46">
      <c r="A46" s="7" t="inlineStr">
        <is>
          <t>DN-29</t>
        </is>
      </c>
      <c r="B46" s="7" t="inlineStr">
        <is>
          <t>Gift Deed</t>
        </is>
      </c>
      <c r="C46" s="7" t="inlineStr">
        <is>
          <t>INT-01 - Transfer of ownership / rights in property</t>
        </is>
      </c>
      <c r="D46" s="7" t="inlineStr">
        <is>
          <t>28</t>
        </is>
      </c>
    </row>
    <row r="47">
      <c r="A47" s="7" t="inlineStr">
        <is>
          <t>DN-30</t>
        </is>
      </c>
      <c r="B47" s="7" t="inlineStr">
        <is>
          <t>Indemnity Bond</t>
        </is>
      </c>
      <c r="C47" s="7" t="inlineStr">
        <is>
          <t>INT-09 - Bonds and guarantees</t>
        </is>
      </c>
      <c r="D47" s="7" t="inlineStr">
        <is>
          <t>29</t>
        </is>
      </c>
    </row>
    <row r="48">
      <c r="A48" s="7" t="inlineStr">
        <is>
          <t>DN-31</t>
        </is>
      </c>
      <c r="B48" s="7" t="inlineStr">
        <is>
          <t>Lease (incl. Sub-lease, Agreement to Let, Mining Lease / MDPA)</t>
        </is>
      </c>
      <c r="C48" s="7" t="inlineStr">
        <is>
          <t>INT-03 - Right to use property (lease / licence / hire)</t>
        </is>
      </c>
      <c r="D48" s="7" t="inlineStr">
        <is>
          <t>30</t>
        </is>
      </c>
    </row>
    <row r="49">
      <c r="A49" s="7" t="inlineStr">
        <is>
          <t>DN-32</t>
        </is>
      </c>
      <c r="B49" s="7" t="inlineStr">
        <is>
          <t>Letter of Allotment of Shares</t>
        </is>
      </c>
      <c r="C49" s="7" t="inlineStr">
        <is>
          <t>INT-06 - Business entity / company / securities</t>
        </is>
      </c>
      <c r="D49" s="7" t="inlineStr">
        <is>
          <t>31</t>
        </is>
      </c>
    </row>
    <row r="50">
      <c r="A50" s="7" t="inlineStr">
        <is>
          <t>DN-33</t>
        </is>
      </c>
      <c r="B50" s="7" t="inlineStr">
        <is>
          <t>Letter of Licence (Debtor - Creditors)</t>
        </is>
      </c>
      <c r="C50" s="7" t="inlineStr">
        <is>
          <t>INT-07 - Agreement / contract</t>
        </is>
      </c>
      <c r="D50" s="7" t="inlineStr">
        <is>
          <t>32</t>
        </is>
      </c>
    </row>
    <row r="51">
      <c r="A51" s="7" t="inlineStr">
        <is>
          <t>DN-34</t>
        </is>
      </c>
      <c r="B51" s="7" t="inlineStr">
        <is>
          <t>Licence of Immovable / Movable Property (Leave &amp; Licence)</t>
        </is>
      </c>
      <c r="C51" s="7" t="inlineStr">
        <is>
          <t>INT-03 - Right to use property (lease / licence / hire)</t>
        </is>
      </c>
      <c r="D51" s="7" t="inlineStr">
        <is>
          <t>32-A</t>
        </is>
      </c>
    </row>
    <row r="52">
      <c r="A52" s="7" t="inlineStr">
        <is>
          <t>DN-35</t>
        </is>
      </c>
      <c r="B52" s="7" t="inlineStr">
        <is>
          <t>Memorandum of Association</t>
        </is>
      </c>
      <c r="C52" s="7" t="inlineStr">
        <is>
          <t>INT-06 - Business entity / company / securities</t>
        </is>
      </c>
      <c r="D52" s="7" t="inlineStr">
        <is>
          <t>33</t>
        </is>
      </c>
    </row>
    <row r="53">
      <c r="A53" s="7" t="inlineStr">
        <is>
          <t>DN-36</t>
        </is>
      </c>
      <c r="B53" s="7" t="inlineStr">
        <is>
          <t>Mortgage Deed (incl. Hypothecation, Collateral Security)</t>
        </is>
      </c>
      <c r="C53" s="7" t="inlineStr">
        <is>
          <t>INT-02 - Security for loan / debt (mortgage, pledge, hypothecation, charge)</t>
        </is>
      </c>
      <c r="D53" s="7" t="inlineStr">
        <is>
          <t>34</t>
        </is>
      </c>
    </row>
    <row r="54">
      <c r="A54" s="7" t="inlineStr">
        <is>
          <t>DN-37</t>
        </is>
      </c>
      <c r="B54" s="7" t="inlineStr">
        <is>
          <t>Mortgage of Crop</t>
        </is>
      </c>
      <c r="C54" s="7" t="inlineStr">
        <is>
          <t>INT-02 - Security for loan / debt (mortgage, pledge, hypothecation, charge)</t>
        </is>
      </c>
      <c r="D54" s="7" t="inlineStr">
        <is>
          <t>35</t>
        </is>
      </c>
    </row>
    <row r="55">
      <c r="A55" s="7" t="inlineStr">
        <is>
          <t>DN-38</t>
        </is>
      </c>
      <c r="B55" s="7" t="inlineStr">
        <is>
          <t>Notarial Act</t>
        </is>
      </c>
      <c r="C55" s="7" t="inlineStr">
        <is>
          <t>INT-11 - Declarations, certificates, copies and notarial instruments</t>
        </is>
      </c>
      <c r="D55" s="7" t="inlineStr">
        <is>
          <t>36</t>
        </is>
      </c>
    </row>
    <row r="56">
      <c r="A56" s="7" t="inlineStr">
        <is>
          <t>DN-39</t>
        </is>
      </c>
      <c r="B56" s="7" t="inlineStr">
        <is>
          <t>Broker / Agent Note or Contract Note</t>
        </is>
      </c>
      <c r="C56" s="7" t="inlineStr">
        <is>
          <t>INT-06 - Business entity / company / securities</t>
        </is>
      </c>
      <c r="D56" s="7" t="inlineStr">
        <is>
          <t>37</t>
        </is>
      </c>
    </row>
    <row r="57">
      <c r="A57" s="7" t="inlineStr">
        <is>
          <t>DN-40</t>
        </is>
      </c>
      <c r="B57" s="7" t="inlineStr">
        <is>
          <t>Note of Protest by Master of Ship</t>
        </is>
      </c>
      <c r="C57" s="7" t="inlineStr">
        <is>
          <t>INT-12 - Shipping, goods and trade documents</t>
        </is>
      </c>
      <c r="D57" s="7" t="inlineStr">
        <is>
          <t>38</t>
        </is>
      </c>
    </row>
    <row r="58">
      <c r="A58" s="7" t="inlineStr">
        <is>
          <t>DN-41</t>
        </is>
      </c>
      <c r="B58" s="7" t="inlineStr">
        <is>
          <t>Partition Deed</t>
        </is>
      </c>
      <c r="C58" s="7" t="inlineStr">
        <is>
          <t>INT-05 - Division / distribution of property (partition, settlement, trust)</t>
        </is>
      </c>
      <c r="D58" s="7" t="inlineStr">
        <is>
          <t>39</t>
        </is>
      </c>
    </row>
    <row r="59">
      <c r="A59" s="7" t="inlineStr">
        <is>
          <t>DN-42</t>
        </is>
      </c>
      <c r="B59" s="7" t="inlineStr">
        <is>
          <t>Partnership (Constitution / Reconstitution / Dissolution)</t>
        </is>
      </c>
      <c r="C59" s="7" t="inlineStr">
        <is>
          <t>INT-06 - Business entity / company / securities</t>
        </is>
      </c>
      <c r="D59" s="7" t="inlineStr">
        <is>
          <t>40</t>
        </is>
      </c>
    </row>
    <row r="60">
      <c r="A60" s="7" t="inlineStr">
        <is>
          <t>DN-43</t>
        </is>
      </c>
      <c r="B60" s="7" t="inlineStr">
        <is>
          <t>Limited Liability Partnership</t>
        </is>
      </c>
      <c r="C60" s="7" t="inlineStr">
        <is>
          <t>INT-06 - Business entity / company / securities</t>
        </is>
      </c>
      <c r="D60" s="7" t="inlineStr">
        <is>
          <t>40-A</t>
        </is>
      </c>
    </row>
    <row r="61">
      <c r="A61" s="7" t="inlineStr">
        <is>
          <t>DN-44</t>
        </is>
      </c>
      <c r="B61" s="7" t="inlineStr">
        <is>
          <t>Power of Attorney</t>
        </is>
      </c>
      <c r="C61" s="7" t="inlineStr">
        <is>
          <t>INT-04 - Authorisation (Power of Attorney / appointment)</t>
        </is>
      </c>
      <c r="D61" s="7" t="inlineStr">
        <is>
          <t>41</t>
        </is>
      </c>
    </row>
    <row r="62">
      <c r="A62" s="7" t="inlineStr">
        <is>
          <t>DN-45</t>
        </is>
      </c>
      <c r="B62" s="7" t="inlineStr">
        <is>
          <t>Protest of Bill or Note</t>
        </is>
      </c>
      <c r="C62" s="7" t="inlineStr">
        <is>
          <t>INT-11 - Declarations, certificates, copies and notarial instruments</t>
        </is>
      </c>
      <c r="D62" s="7" t="inlineStr">
        <is>
          <t>42</t>
        </is>
      </c>
    </row>
    <row r="63">
      <c r="A63" s="7" t="inlineStr">
        <is>
          <t>DN-46</t>
        </is>
      </c>
      <c r="B63" s="7" t="inlineStr">
        <is>
          <t>Protest by Master of Ship</t>
        </is>
      </c>
      <c r="C63" s="7" t="inlineStr">
        <is>
          <t>INT-12 - Shipping, goods and trade documents</t>
        </is>
      </c>
      <c r="D63" s="7" t="inlineStr">
        <is>
          <t>43</t>
        </is>
      </c>
    </row>
    <row r="64">
      <c r="A64" s="7" t="inlineStr">
        <is>
          <t>DN-47</t>
        </is>
      </c>
      <c r="B64" s="7" t="inlineStr">
        <is>
          <t>Reconveyance of Mortgaged Property</t>
        </is>
      </c>
      <c r="C64" s="7" t="inlineStr">
        <is>
          <t>INT-08 - Cancellation / release / surrender / revocation</t>
        </is>
      </c>
      <c r="D64" s="7" t="inlineStr">
        <is>
          <t>44</t>
        </is>
      </c>
    </row>
    <row r="65">
      <c r="A65" s="7" t="inlineStr">
        <is>
          <t>DN-48</t>
        </is>
      </c>
      <c r="B65" s="7" t="inlineStr">
        <is>
          <t>Release Deed</t>
        </is>
      </c>
      <c r="C65" s="7" t="inlineStr">
        <is>
          <t>INT-08 - Cancellation / release / surrender / revocation</t>
        </is>
      </c>
      <c r="D65" s="7" t="inlineStr">
        <is>
          <t>45</t>
        </is>
      </c>
    </row>
    <row r="66">
      <c r="A66" s="7" t="inlineStr">
        <is>
          <t>DN-49</t>
        </is>
      </c>
      <c r="B66" s="7" t="inlineStr">
        <is>
          <t>Respondentia Bond</t>
        </is>
      </c>
      <c r="C66" s="7" t="inlineStr">
        <is>
          <t>INT-12 - Shipping, goods and trade documents</t>
        </is>
      </c>
      <c r="D66" s="7" t="inlineStr">
        <is>
          <t>46</t>
        </is>
      </c>
    </row>
    <row r="67">
      <c r="A67" s="7" t="inlineStr">
        <is>
          <t>DN-50</t>
        </is>
      </c>
      <c r="B67" s="7" t="inlineStr">
        <is>
          <t>Security Bond / Surety Bond</t>
        </is>
      </c>
      <c r="C67" s="7" t="inlineStr">
        <is>
          <t>INT-09 - Bonds and guarantees</t>
        </is>
      </c>
      <c r="D67" s="7" t="inlineStr">
        <is>
          <t>47</t>
        </is>
      </c>
    </row>
    <row r="68">
      <c r="A68" s="7" t="inlineStr">
        <is>
          <t>DN-51</t>
        </is>
      </c>
      <c r="B68" s="7" t="inlineStr">
        <is>
          <t>Settlement Deed / Revocation of Settlement</t>
        </is>
      </c>
      <c r="C68" s="7" t="inlineStr">
        <is>
          <t>INT-05 - Division / distribution of property (partition, settlement, trust)</t>
        </is>
      </c>
      <c r="D68" s="7" t="inlineStr">
        <is>
          <t>48</t>
        </is>
      </c>
    </row>
    <row r="69">
      <c r="A69" s="7" t="inlineStr">
        <is>
          <t>DN-52</t>
        </is>
      </c>
      <c r="B69" s="7" t="inlineStr">
        <is>
          <t>Share Warrant to Bearer</t>
        </is>
      </c>
      <c r="C69" s="7" t="inlineStr">
        <is>
          <t>INT-06 - Business entity / company / securities</t>
        </is>
      </c>
      <c r="D69" s="7" t="inlineStr">
        <is>
          <t>49</t>
        </is>
      </c>
    </row>
    <row r="70">
      <c r="A70" s="7" t="inlineStr">
        <is>
          <t>DN-53</t>
        </is>
      </c>
      <c r="B70" s="7" t="inlineStr">
        <is>
          <t>Shipping Order</t>
        </is>
      </c>
      <c r="C70" s="7" t="inlineStr">
        <is>
          <t>INT-12 - Shipping, goods and trade documents</t>
        </is>
      </c>
      <c r="D70" s="7" t="inlineStr">
        <is>
          <t>50</t>
        </is>
      </c>
    </row>
    <row r="71">
      <c r="A71" s="7" t="inlineStr">
        <is>
          <t>DN-54</t>
        </is>
      </c>
      <c r="B71" s="7" t="inlineStr">
        <is>
          <t>Surrender of Lease</t>
        </is>
      </c>
      <c r="C71" s="7" t="inlineStr">
        <is>
          <t>INT-08 - Cancellation / release / surrender / revocation</t>
        </is>
      </c>
      <c r="D71" s="7" t="inlineStr">
        <is>
          <t>51</t>
        </is>
      </c>
    </row>
    <row r="72">
      <c r="A72" s="7" t="inlineStr">
        <is>
          <t>DN-55</t>
        </is>
      </c>
      <c r="B72" s="7" t="inlineStr">
        <is>
          <t>Transfer (Debentures, Mortgage / Bond interest, Trust property)</t>
        </is>
      </c>
      <c r="C72" s="7" t="inlineStr">
        <is>
          <t>INT-01 - Transfer of ownership / rights in property</t>
        </is>
      </c>
      <c r="D72" s="7" t="inlineStr">
        <is>
          <t>52</t>
        </is>
      </c>
    </row>
    <row r="73">
      <c r="A73" s="7" t="inlineStr">
        <is>
          <t>DN-56</t>
        </is>
      </c>
      <c r="B73" s="7" t="inlineStr">
        <is>
          <t>Transfer / Assignment of Lease</t>
        </is>
      </c>
      <c r="C73" s="7" t="inlineStr">
        <is>
          <t>INT-01 - Transfer of ownership / rights in property</t>
        </is>
      </c>
      <c r="D73" s="7" t="inlineStr">
        <is>
          <t>53</t>
        </is>
      </c>
    </row>
    <row r="74">
      <c r="A74" s="7" t="inlineStr">
        <is>
          <t>DN-57</t>
        </is>
      </c>
      <c r="B74" s="7" t="inlineStr">
        <is>
          <t>Transfer of Licence</t>
        </is>
      </c>
      <c r="C74" s="7" t="inlineStr">
        <is>
          <t>INT-01 - Transfer of ownership / rights in property</t>
        </is>
      </c>
      <c r="D74" s="7" t="inlineStr">
        <is>
          <t>53-A</t>
        </is>
      </c>
    </row>
    <row r="75">
      <c r="A75" s="7" t="inlineStr">
        <is>
          <t>DN-58</t>
        </is>
      </c>
      <c r="B75" s="7" t="inlineStr">
        <is>
          <t>Trust (Declaration of Trust)</t>
        </is>
      </c>
      <c r="C75" s="7" t="inlineStr">
        <is>
          <t>INT-05 - Division / distribution of property (partition, settlement, trust)</t>
        </is>
      </c>
      <c r="D75" s="7" t="inlineStr">
        <is>
          <t>54</t>
        </is>
      </c>
    </row>
    <row r="76">
      <c r="A76" s="7" t="inlineStr">
        <is>
          <t>DN-59</t>
        </is>
      </c>
      <c r="B76" s="7" t="inlineStr">
        <is>
          <t>Warrant for Goods</t>
        </is>
      </c>
      <c r="C76" s="7" t="inlineStr">
        <is>
          <t>INT-12 - Shipping, goods and trade documents</t>
        </is>
      </c>
      <c r="D76" s="7" t="inlineStr">
        <is>
          <t>55</t>
        </is>
      </c>
    </row>
    <row r="78">
      <c r="A78" s="5" t="inlineStr">
        <is>
          <t>Agreement Subject (AGR-01)</t>
        </is>
      </c>
    </row>
    <row r="79" ht="20" customHeight="1">
      <c r="A79" s="6" t="inlineStr">
        <is>
          <t>Code</t>
        </is>
      </c>
      <c r="B79" s="6" t="inlineStr">
        <is>
          <t>Agreement relates to</t>
        </is>
      </c>
      <c r="C79" s="6" t="inlineStr">
        <is>
          <t>Article</t>
        </is>
      </c>
    </row>
    <row r="80">
      <c r="A80" s="7" t="inlineStr">
        <is>
          <t>AS-01</t>
        </is>
      </c>
      <c r="B80" s="7" t="inlineStr">
        <is>
          <t>Sale of a bill of exchange</t>
        </is>
      </c>
      <c r="C80" s="7" t="inlineStr">
        <is>
          <t>5(a)</t>
        </is>
      </c>
    </row>
    <row r="81">
      <c r="A81" s="7" t="inlineStr">
        <is>
          <t>AS-02</t>
        </is>
      </c>
      <c r="B81" s="7" t="inlineStr">
        <is>
          <t>Purchase / sale of Government security</t>
        </is>
      </c>
      <c r="C81" s="7" t="inlineStr">
        <is>
          <t>5(b)</t>
        </is>
      </c>
    </row>
    <row r="82">
      <c r="A82" s="7" t="inlineStr">
        <is>
          <t>AS-03</t>
        </is>
      </c>
      <c r="B82" s="7" t="inlineStr">
        <is>
          <t>Purchase / sale of shares, stocks, debentures, marketable securities</t>
        </is>
      </c>
      <c r="C82" s="7" t="inlineStr">
        <is>
          <t>5(c)</t>
        </is>
      </c>
    </row>
    <row r="83">
      <c r="A83" s="7" t="inlineStr">
        <is>
          <t>AS-04</t>
        </is>
      </c>
      <c r="B83" s="7" t="inlineStr">
        <is>
          <t>Lease-cum-sale allotment of site / building / shed by an authority</t>
        </is>
      </c>
      <c r="C83" s="7" t="inlineStr">
        <is>
          <t>5(d)</t>
        </is>
      </c>
    </row>
    <row r="84">
      <c r="A84" s="7" t="inlineStr">
        <is>
          <t>AS-05</t>
        </is>
      </c>
      <c r="B84" s="7" t="inlineStr">
        <is>
          <t>Lease-cum-sale of Flat / Apartment by BDA / KHB</t>
        </is>
      </c>
      <c r="C84" s="7" t="inlineStr">
        <is>
          <t>5(da)</t>
        </is>
      </c>
    </row>
    <row r="85">
      <c r="A85" s="7" t="inlineStr">
        <is>
          <t>AS-06</t>
        </is>
      </c>
      <c r="B85" s="7" t="inlineStr">
        <is>
          <t>Sale of immovable property (Agreement to Sell)</t>
        </is>
      </c>
      <c r="C85" s="7" t="inlineStr">
        <is>
          <t>5(e)</t>
        </is>
      </c>
    </row>
    <row r="86">
      <c r="A86" s="7" t="inlineStr">
        <is>
          <t>AS-07</t>
        </is>
      </c>
      <c r="B86" s="7" t="inlineStr">
        <is>
          <t>Construction / Joint Development of immovable property (JDA)</t>
        </is>
      </c>
      <c r="C86" s="7" t="inlineStr">
        <is>
          <t>5(f)</t>
        </is>
      </c>
    </row>
    <row r="87">
      <c r="A87" s="7" t="inlineStr">
        <is>
          <t>AS-08</t>
        </is>
      </c>
      <c r="B87" s="7" t="inlineStr">
        <is>
          <t>Sale of movable property</t>
        </is>
      </c>
      <c r="C87" s="7" t="inlineStr">
        <is>
          <t>5(g)</t>
        </is>
      </c>
    </row>
    <row r="88">
      <c r="A88" s="7" t="inlineStr">
        <is>
          <t>AS-09</t>
        </is>
      </c>
      <c r="B88" s="7" t="inlineStr">
        <is>
          <t>Mortgage (agreement relating to mortgage)</t>
        </is>
      </c>
      <c r="C88" s="7" t="inlineStr">
        <is>
          <t>5(h)</t>
        </is>
      </c>
    </row>
    <row r="89">
      <c r="A89" s="7" t="inlineStr">
        <is>
          <t>AS-10</t>
        </is>
      </c>
      <c r="B89" s="7" t="inlineStr">
        <is>
          <t>Depository Participant - client (Demat account opening)</t>
        </is>
      </c>
      <c r="C89" s="7" t="inlineStr">
        <is>
          <t>5(i)</t>
        </is>
      </c>
    </row>
    <row r="90">
      <c r="A90" s="7" t="inlineStr">
        <is>
          <t>AS-11</t>
        </is>
      </c>
      <c r="B90" s="7" t="inlineStr">
        <is>
          <t>Stock broker / sub-broker - client</t>
        </is>
      </c>
      <c r="C90" s="7" t="inlineStr">
        <is>
          <t>5(i-a)</t>
        </is>
      </c>
    </row>
    <row r="91">
      <c r="A91" s="7" t="inlineStr">
        <is>
          <t>AS-12</t>
        </is>
      </c>
      <c r="B91" s="7" t="inlineStr">
        <is>
          <t>Advertisement / telecasting / broadcasting for business promotion</t>
        </is>
      </c>
      <c r="C91" s="7" t="inlineStr">
        <is>
          <t>5(i-b)</t>
        </is>
      </c>
    </row>
    <row r="92">
      <c r="A92" s="7" t="inlineStr">
        <is>
          <t>AS-13</t>
        </is>
      </c>
      <c r="B92" s="7" t="inlineStr">
        <is>
          <t>Assignment / transfer of Intellectual Property Rights</t>
        </is>
      </c>
      <c r="C92" s="7" t="inlineStr">
        <is>
          <t>5(i-c)</t>
        </is>
      </c>
    </row>
    <row r="93">
      <c r="A93" s="7" t="inlineStr">
        <is>
          <t>AS-14</t>
        </is>
      </c>
      <c r="B93" s="7" t="inlineStr">
        <is>
          <t>Building works / labour / services (Works Contract)</t>
        </is>
      </c>
      <c r="C93" s="7" t="inlineStr">
        <is>
          <t>5(i-d)</t>
        </is>
      </c>
    </row>
    <row r="94">
      <c r="A94" s="7" t="inlineStr">
        <is>
          <t>AS-15</t>
        </is>
      </c>
      <c r="B94" s="7" t="inlineStr">
        <is>
          <t>Chit Agreement (Sec 6, Chit Funds Act, 1982)</t>
        </is>
      </c>
      <c r="C94" s="7" t="inlineStr">
        <is>
          <t>5(i-e)</t>
        </is>
      </c>
    </row>
    <row r="95">
      <c r="A95" s="7" t="inlineStr">
        <is>
          <t>AS-16</t>
        </is>
      </c>
      <c r="B95" s="7" t="inlineStr">
        <is>
          <t>Any other agreement not otherwise provided for</t>
        </is>
      </c>
      <c r="C95" s="7" t="inlineStr">
        <is>
          <t>5(j)</t>
        </is>
      </c>
    </row>
    <row r="97">
      <c r="A97" s="5" t="inlineStr">
        <is>
          <t>POA Purpose (POA-01)</t>
        </is>
      </c>
    </row>
    <row r="98" ht="20" customHeight="1">
      <c r="A98" s="6" t="inlineStr">
        <is>
          <t>Code</t>
        </is>
      </c>
      <c r="B98" s="6" t="inlineStr">
        <is>
          <t>Purpose</t>
        </is>
      </c>
      <c r="C98" s="6" t="inlineStr">
        <is>
          <t>Article</t>
        </is>
      </c>
    </row>
    <row r="99">
      <c r="A99" s="7" t="inlineStr">
        <is>
          <t>PP-01</t>
        </is>
      </c>
      <c r="B99" s="7" t="inlineStr">
        <is>
          <t>Only to present / admit execution / procure registration of document(s) of a single transaction</t>
        </is>
      </c>
      <c r="C99" s="7" t="inlineStr">
        <is>
          <t>41(a)</t>
        </is>
      </c>
    </row>
    <row r="100">
      <c r="A100" s="7" t="inlineStr">
        <is>
          <t>PP-02</t>
        </is>
      </c>
      <c r="B100" s="7" t="inlineStr">
        <is>
          <t>To act in a single transaction (other than registration only)</t>
        </is>
      </c>
      <c r="C100" s="7" t="inlineStr">
        <is>
          <t>41(b)</t>
        </is>
      </c>
    </row>
    <row r="101">
      <c r="A101" s="7" t="inlineStr">
        <is>
          <t>PP-03</t>
        </is>
      </c>
      <c r="B101" s="7" t="inlineStr">
        <is>
          <t>To act in more than one transaction or generally (General POA)</t>
        </is>
      </c>
      <c r="C101" s="7" t="inlineStr">
        <is>
          <t>41(c)/(d)/(h)</t>
        </is>
      </c>
    </row>
    <row r="102">
      <c r="A102" s="7" t="inlineStr">
        <is>
          <t>PP-04</t>
        </is>
      </c>
      <c r="B102" s="7" t="inlineStr">
        <is>
          <t>To sell immovable property</t>
        </is>
      </c>
      <c r="C102" s="7" t="inlineStr">
        <is>
          <t>41(e)/(eb)/others</t>
        </is>
      </c>
    </row>
    <row r="103">
      <c r="A103" s="7" t="inlineStr">
        <is>
          <t>PP-05</t>
        </is>
      </c>
      <c r="B103" s="7" t="inlineStr">
        <is>
          <t>Construction / Joint Development of immovable property (owner to developer)</t>
        </is>
      </c>
      <c r="C103" s="7" t="inlineStr">
        <is>
          <t>41(ea)</t>
        </is>
      </c>
    </row>
    <row r="104">
      <c r="A104" s="7" t="inlineStr">
        <is>
          <t>PP-06</t>
        </is>
      </c>
      <c r="B104" s="7" t="inlineStr">
        <is>
          <t>To sell Transferable Development Rights (TDR)</t>
        </is>
      </c>
      <c r="C104" s="7" t="inlineStr">
        <is>
          <t>41(ec)</t>
        </is>
      </c>
    </row>
    <row r="105">
      <c r="A105" s="7" t="inlineStr">
        <is>
          <t>PP-07</t>
        </is>
      </c>
      <c r="B105" s="7" t="inlineStr">
        <is>
          <t>Broker / agent: trading operations in marketable securities</t>
        </is>
      </c>
      <c r="C105" s="7" t="inlineStr">
        <is>
          <t>41(f)</t>
        </is>
      </c>
    </row>
    <row r="106">
      <c r="A106" s="7" t="inlineStr">
        <is>
          <t>PP-08</t>
        </is>
      </c>
      <c r="B106" s="7" t="inlineStr">
        <is>
          <t>Broker / agent: other trading operations governing such operations</t>
        </is>
      </c>
      <c r="C106" s="7" t="inlineStr">
        <is>
          <t>41(g)</t>
        </is>
      </c>
    </row>
    <row r="107">
      <c r="A107" s="7" t="inlineStr">
        <is>
          <t>PP-09</t>
        </is>
      </c>
      <c r="B107" s="7" t="inlineStr">
        <is>
          <t>Any other purpose</t>
        </is>
      </c>
      <c r="C107" s="7" t="inlineStr">
        <is>
          <t>41(h)</t>
        </is>
      </c>
    </row>
    <row r="109">
      <c r="A109" s="5" t="inlineStr">
        <is>
          <t>Conveyance Type (Art 20)</t>
        </is>
      </c>
    </row>
    <row r="110" ht="20" customHeight="1">
      <c r="A110" s="6" t="inlineStr">
        <is>
          <t>Code</t>
        </is>
      </c>
      <c r="B110" s="6" t="inlineStr">
        <is>
          <t>Conveyance type</t>
        </is>
      </c>
      <c r="C110" s="6" t="inlineStr">
        <is>
          <t>Article</t>
        </is>
      </c>
    </row>
    <row r="111">
      <c r="A111" s="7" t="inlineStr">
        <is>
          <t>CT-01</t>
        </is>
      </c>
      <c r="B111" s="7" t="inlineStr">
        <is>
          <t>Sale / transfer of property (general conveyance)</t>
        </is>
      </c>
      <c r="C111" s="7" t="inlineStr">
        <is>
          <t>20(1)</t>
        </is>
      </c>
    </row>
    <row r="112">
      <c r="A112" s="7" t="inlineStr">
        <is>
          <t>CT-02</t>
        </is>
      </c>
      <c r="B112" s="7" t="inlineStr">
        <is>
          <t>Sale of Flat / Apartment / Unit by promoter, land owner or developer, or transfer of share in co-op society / company for a unit</t>
        </is>
      </c>
      <c r="C112" s="7" t="inlineStr">
        <is>
          <t>20(2)</t>
        </is>
      </c>
    </row>
    <row r="113">
      <c r="A113" s="7" t="inlineStr">
        <is>
          <t>CT-03</t>
        </is>
      </c>
      <c r="B113" s="7" t="inlineStr">
        <is>
          <t>Conveyance of Flat / Apartment by BDA / KHB</t>
        </is>
      </c>
      <c r="C113" s="7" t="inlineStr">
        <is>
          <t>20(3)</t>
        </is>
      </c>
    </row>
    <row r="114">
      <c r="A114" s="7" t="inlineStr">
        <is>
          <t>CT-04</t>
        </is>
      </c>
      <c r="B114" s="7" t="inlineStr">
        <is>
          <t>Order of High Court / NCLT / Tribunal: Amalgamation of companies</t>
        </is>
      </c>
      <c r="C114" s="7" t="inlineStr">
        <is>
          <t>20(4)(i)</t>
        </is>
      </c>
    </row>
    <row r="115">
      <c r="A115" s="7" t="inlineStr">
        <is>
          <t>CT-05</t>
        </is>
      </c>
      <c r="B115" s="7" t="inlineStr">
        <is>
          <t>Order of High Court / NCLT / Tribunal: Reconstruction / Demerger</t>
        </is>
      </c>
      <c r="C115" s="7" t="inlineStr">
        <is>
          <t>20(4)(ii)</t>
        </is>
      </c>
    </row>
    <row r="116">
      <c r="A116" s="7" t="inlineStr">
        <is>
          <t>CT-06</t>
        </is>
      </c>
      <c r="B116" s="7" t="inlineStr">
        <is>
          <t>Conveyance of industrial machinery</t>
        </is>
      </c>
      <c r="C116" s="7" t="inlineStr">
        <is>
          <t>20(5)</t>
        </is>
      </c>
    </row>
    <row r="117">
      <c r="A117" s="7" t="inlineStr">
        <is>
          <t>CT-07</t>
        </is>
      </c>
      <c r="B117" s="7" t="inlineStr">
        <is>
          <t>Assignment of receivables to SPV (securitisation under SARFAESI)</t>
        </is>
      </c>
      <c r="C117" s="7" t="inlineStr">
        <is>
          <t>20(6)</t>
        </is>
      </c>
    </row>
    <row r="118">
      <c r="A118" s="7" t="inlineStr">
        <is>
          <t>CT-08</t>
        </is>
      </c>
      <c r="B118" s="7" t="inlineStr">
        <is>
          <t>Conveyance of Transferable Development Rights (TDR)</t>
        </is>
      </c>
      <c r="C118" s="7" t="inlineStr">
        <is>
          <t>20(7)</t>
        </is>
      </c>
    </row>
    <row r="120">
      <c r="A120" s="5" t="inlineStr">
        <is>
          <t>Local Body Limits (PRP-03)</t>
        </is>
      </c>
    </row>
    <row r="121" ht="20" customHeight="1">
      <c r="A121" s="6" t="inlineStr">
        <is>
          <t>Code</t>
        </is>
      </c>
      <c r="B121" s="6" t="inlineStr">
        <is>
          <t>Limits</t>
        </is>
      </c>
    </row>
    <row r="122">
      <c r="A122" s="7" t="inlineStr">
        <is>
          <t>LL-1</t>
        </is>
      </c>
      <c r="B122" s="7" t="inlineStr">
        <is>
          <t>BMRDA / BBMP (Bruhat Bengaluru Mahanagara Palike) / City Corporation</t>
        </is>
      </c>
    </row>
    <row r="123">
      <c r="A123" s="7" t="inlineStr">
        <is>
          <t>LL-2</t>
        </is>
      </c>
      <c r="B123" s="7" t="inlineStr">
        <is>
          <t>City Municipal Council / Town Municipal Council / Town Panchayat</t>
        </is>
      </c>
    </row>
    <row r="124">
      <c r="A124" s="7" t="inlineStr">
        <is>
          <t>LL-3</t>
        </is>
      </c>
      <c r="B124" s="7" t="inlineStr">
        <is>
          <t>Other areas (Grama Panchayat / rural, outside LL-1 &amp; LL-2)</t>
        </is>
      </c>
    </row>
    <row r="126">
      <c r="A126" s="5" t="inlineStr">
        <is>
          <t>Relationship (GEN-07)</t>
        </is>
      </c>
    </row>
    <row r="127" ht="20" customHeight="1">
      <c r="A127" s="6" t="inlineStr">
        <is>
          <t>Relationship</t>
        </is>
      </c>
    </row>
    <row r="128">
      <c r="A128" s="7" t="inlineStr">
        <is>
          <t>Father</t>
        </is>
      </c>
    </row>
    <row r="129">
      <c r="A129" s="7" t="inlineStr">
        <is>
          <t>Mother</t>
        </is>
      </c>
    </row>
    <row r="130">
      <c r="A130" s="7" t="inlineStr">
        <is>
          <t>Husband</t>
        </is>
      </c>
    </row>
    <row r="131">
      <c r="A131" s="7" t="inlineStr">
        <is>
          <t>Wife</t>
        </is>
      </c>
    </row>
    <row r="132">
      <c r="A132" s="7" t="inlineStr">
        <is>
          <t>Son</t>
        </is>
      </c>
    </row>
    <row r="133">
      <c r="A133" s="7" t="inlineStr">
        <is>
          <t>Daughter</t>
        </is>
      </c>
    </row>
    <row r="134">
      <c r="A134" s="7" t="inlineStr">
        <is>
          <t>Daughter-in-law</t>
        </is>
      </c>
    </row>
    <row r="135">
      <c r="A135" s="7" t="inlineStr">
        <is>
          <t>Brother</t>
        </is>
      </c>
    </row>
    <row r="136">
      <c r="A136" s="7" t="inlineStr">
        <is>
          <t>Sister</t>
        </is>
      </c>
    </row>
    <row r="137">
      <c r="A137" s="7" t="inlineStr">
        <is>
          <t>Grandson</t>
        </is>
      </c>
    </row>
    <row r="138">
      <c r="A138" s="7" t="inlineStr">
        <is>
          <t>Granddaughter</t>
        </is>
      </c>
    </row>
    <row r="139">
      <c r="A139" s="7" t="inlineStr">
        <is>
          <t>Wife of predeceased brother</t>
        </is>
      </c>
    </row>
    <row r="140">
      <c r="A140" s="7" t="inlineStr">
        <is>
          <t>Children of predeceased brother</t>
        </is>
      </c>
    </row>
    <row r="141">
      <c r="A141" s="7" t="inlineStr">
        <is>
          <t>Husband of predeceased sister</t>
        </is>
      </c>
    </row>
    <row r="142">
      <c r="A142" s="7" t="inlineStr">
        <is>
          <t>Children of predeceased sister</t>
        </is>
      </c>
    </row>
    <row r="143">
      <c r="A143" s="7" t="inlineStr">
        <is>
          <t>Wife of predeceased son</t>
        </is>
      </c>
    </row>
    <row r="144">
      <c r="A144" s="7" t="inlineStr">
        <is>
          <t>Children of predeceased son</t>
        </is>
      </c>
    </row>
    <row r="145">
      <c r="A145" s="7" t="inlineStr">
        <is>
          <t>Children of predeceased daughter</t>
        </is>
      </c>
    </row>
    <row r="146">
      <c r="A146" s="7" t="inlineStr">
        <is>
          <t>Son-in-law</t>
        </is>
      </c>
    </row>
    <row r="147">
      <c r="A147" s="7" t="inlineStr">
        <is>
          <t>Other relative</t>
        </is>
      </c>
    </row>
    <row r="148">
      <c r="A148" s="7" t="inlineStr">
        <is>
          <t>Not related</t>
        </is>
      </c>
    </row>
    <row r="150">
      <c r="A150" s="5" t="inlineStr">
        <is>
          <t>Allotting Authority (AGR-04)</t>
        </is>
      </c>
    </row>
    <row r="151" ht="20" customHeight="1">
      <c r="A151" s="6" t="inlineStr">
        <is>
          <t>Authority</t>
        </is>
      </c>
    </row>
    <row r="152">
      <c r="A152" s="7" t="inlineStr">
        <is>
          <t>Bangalore Development Authority (BDA)</t>
        </is>
      </c>
    </row>
    <row r="153">
      <c r="A153" s="7" t="inlineStr">
        <is>
          <t>City Improvement Trust Board, Mysore</t>
        </is>
      </c>
    </row>
    <row r="154">
      <c r="A154" s="7" t="inlineStr">
        <is>
          <t>Karnataka Housing Board (KHB)</t>
        </is>
      </c>
    </row>
    <row r="155">
      <c r="A155" s="7" t="inlineStr">
        <is>
          <t>Improvement Boards (Karnataka Improvement Boards Act, 1976)</t>
        </is>
      </c>
    </row>
    <row r="156">
      <c r="A156" s="7" t="inlineStr">
        <is>
          <t>House Building Co-operative Society</t>
        </is>
      </c>
    </row>
    <row r="157">
      <c r="A157" s="7" t="inlineStr">
        <is>
          <t>KIADB (industrial sheds / plots)</t>
        </is>
      </c>
    </row>
    <row r="158">
      <c r="A158" s="7" t="inlineStr">
        <is>
          <t>KSSIDC</t>
        </is>
      </c>
    </row>
    <row r="159">
      <c r="A159" s="7" t="inlineStr">
        <is>
          <t>KSIIDC</t>
        </is>
      </c>
    </row>
    <row r="160">
      <c r="A160" s="7" t="inlineStr">
        <is>
          <t>Karnataka State Electronics Development Corporation</t>
        </is>
      </c>
    </row>
    <row r="161">
      <c r="A161" s="7" t="inlineStr">
        <is>
          <t>Agricultural Produce Market Committee (market yard)</t>
        </is>
      </c>
    </row>
    <row r="162">
      <c r="A162" s="7" t="inlineStr">
        <is>
          <t>Municipal Corporation</t>
        </is>
      </c>
    </row>
    <row r="163">
      <c r="A163" s="7" t="inlineStr">
        <is>
          <t>City / Town Municipal Council / Town Panchayat</t>
        </is>
      </c>
    </row>
    <row r="164">
      <c r="A164" s="7" t="inlineStr">
        <is>
          <t>Urban Development Authority</t>
        </is>
      </c>
    </row>
    <row r="165">
      <c r="A165" s="7" t="inlineStr">
        <is>
          <t>Grama / Taluk / Zilla Panchayat</t>
        </is>
      </c>
    </row>
    <row r="166">
      <c r="A166" s="7" t="inlineStr">
        <is>
          <t>Other authority notified by Government</t>
        </is>
      </c>
    </row>
    <row r="167">
      <c r="A167" s="7" t="inlineStr">
        <is>
          <t>None (private party)</t>
        </is>
      </c>
    </row>
    <row r="169">
      <c r="A169" s="5" t="inlineStr">
        <is>
          <t>Form of Security (LON-03)</t>
        </is>
      </c>
    </row>
    <row r="170" ht="20" customHeight="1">
      <c r="A170" s="6" t="inlineStr">
        <is>
          <t>Form</t>
        </is>
      </c>
    </row>
    <row r="171">
      <c r="A171" s="7" t="inlineStr">
        <is>
          <t>Deposit of title deeds</t>
        </is>
      </c>
    </row>
    <row r="172">
      <c r="A172" s="7" t="inlineStr">
        <is>
          <t>Pawn / pledge of movable property</t>
        </is>
      </c>
    </row>
    <row r="173">
      <c r="A173" s="7" t="inlineStr">
        <is>
          <t>Mortgage of immovable property</t>
        </is>
      </c>
    </row>
    <row r="174">
      <c r="A174" s="7" t="inlineStr">
        <is>
          <t>Hypothecation of movable property</t>
        </is>
      </c>
    </row>
    <row r="175">
      <c r="A175" s="7" t="inlineStr">
        <is>
          <t>Collateral / auxiliary / additional / substituted security / further assurance</t>
        </is>
      </c>
    </row>
    <row r="176">
      <c r="A176" s="7" t="inlineStr">
        <is>
          <t>Mortgage of crop</t>
        </is>
      </c>
    </row>
    <row r="177">
      <c r="A177" s="7" t="inlineStr">
        <is>
          <t>Further charge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32" customWidth="1" min="3" max="3"/>
    <col width="60" customWidth="1" min="4" max="4"/>
    <col width="18" customWidth="1" min="5" max="5"/>
    <col width="48" customWidth="1" min="6" max="6"/>
    <col width="20" customWidth="1" min="7" max="7"/>
    <col width="16" customWidth="1" min="8" max="8"/>
    <col width="12" customWidth="1" min="9" max="9"/>
    <col width="60" customWidth="1" min="10" max="10"/>
  </cols>
  <sheetData>
    <row r="1" ht="32" customHeight="1">
      <c r="A1" s="6" t="inlineStr">
        <is>
          <t>Input ID</t>
        </is>
      </c>
      <c r="B1" s="6" t="inlineStr">
        <is>
          <t>Group</t>
        </is>
      </c>
      <c r="C1" s="6" t="inlineStr">
        <is>
          <t>Field label</t>
        </is>
      </c>
      <c r="D1" s="6" t="inlineStr">
        <is>
          <t>Question to user</t>
        </is>
      </c>
      <c r="E1" s="6" t="inlineStr">
        <is>
          <t>Data type</t>
        </is>
      </c>
      <c r="F1" s="6" t="inlineStr">
        <is>
          <t>Allowed values / format</t>
        </is>
      </c>
      <c r="G1" s="6" t="inlineStr">
        <is>
          <t>Source</t>
        </is>
      </c>
      <c r="H1" s="6" t="inlineStr">
        <is>
          <t>Purpose</t>
        </is>
      </c>
      <c r="I1" s="6" t="inlineStr">
        <is>
          <t>No. of Article rules using it</t>
        </is>
      </c>
      <c r="J1" s="6" t="inlineStr">
        <is>
          <t>Article rules using it</t>
        </is>
      </c>
    </row>
    <row r="2">
      <c r="A2" s="8" t="inlineStr">
        <is>
          <t>GEN-01</t>
        </is>
      </c>
      <c r="B2" s="9" t="inlineStr">
        <is>
          <t>General</t>
        </is>
      </c>
      <c r="C2" s="9" t="inlineStr">
        <is>
          <t>Transaction intent</t>
        </is>
      </c>
      <c r="D2" s="7" t="inlineStr">
        <is>
          <t>What does this document primarily do?</t>
        </is>
      </c>
      <c r="E2" s="7" t="inlineStr">
        <is>
          <t>Dropdown</t>
        </is>
      </c>
      <c r="F2" s="7" t="inlineStr">
        <is>
          <t>See Lookup_Lists: Transaction Intent</t>
        </is>
      </c>
      <c r="G2" s="7" t="inlineStr">
        <is>
          <t>User</t>
        </is>
      </c>
      <c r="H2" s="7" t="inlineStr">
        <is>
          <t>Identification</t>
        </is>
      </c>
      <c r="I2" s="7" t="inlineStr"/>
      <c r="J2" s="7" t="inlineStr">
        <is>
          <t>All documents</t>
        </is>
      </c>
    </row>
    <row r="3">
      <c r="A3" s="10" t="inlineStr">
        <is>
          <t>GEN-02</t>
        </is>
      </c>
      <c r="B3" s="7" t="inlineStr">
        <is>
          <t>General</t>
        </is>
      </c>
      <c r="C3" s="7" t="inlineStr">
        <is>
          <t>Nature of document</t>
        </is>
      </c>
      <c r="D3" s="7" t="inlineStr">
        <is>
          <t>Select the nature of the document</t>
        </is>
      </c>
      <c r="E3" s="7" t="inlineStr">
        <is>
          <t>Dropdown (filtered by GEN-01)</t>
        </is>
      </c>
      <c r="F3" s="7" t="inlineStr">
        <is>
          <t>See Lookup_Lists: Nature of Document (DN-01..DN-59)</t>
        </is>
      </c>
      <c r="G3" s="7" t="inlineStr">
        <is>
          <t>User</t>
        </is>
      </c>
      <c r="H3" s="7" t="inlineStr">
        <is>
          <t>Identification</t>
        </is>
      </c>
      <c r="I3" s="7" t="inlineStr"/>
      <c r="J3" s="7" t="inlineStr">
        <is>
          <t>All documents</t>
        </is>
      </c>
    </row>
    <row r="4">
      <c r="A4" s="10" t="inlineStr">
        <is>
          <t>GEN-03</t>
        </is>
      </c>
      <c r="B4" s="7" t="inlineStr">
        <is>
          <t>General</t>
        </is>
      </c>
      <c r="C4" s="7" t="inlineStr">
        <is>
          <t>Date of execution</t>
        </is>
      </c>
      <c r="D4" s="7" t="inlineStr">
        <is>
          <t>Date on which the document was / will be executed</t>
        </is>
      </c>
      <c r="E4" s="7" t="inlineStr">
        <is>
          <t>Date</t>
        </is>
      </c>
      <c r="F4" s="7" t="inlineStr">
        <is>
          <t>DD-MM-YYYY; not future beyond stamp purchase date</t>
        </is>
      </c>
      <c r="G4" s="7" t="inlineStr">
        <is>
          <t>User</t>
        </is>
      </c>
      <c r="H4" s="7" t="inlineStr">
        <is>
          <t>Calculation</t>
        </is>
      </c>
      <c r="I4" s="7" t="inlineStr"/>
      <c r="J4" s="7" t="inlineStr">
        <is>
          <t>All documents</t>
        </is>
      </c>
    </row>
    <row r="5">
      <c r="A5" s="10" t="inlineStr">
        <is>
          <t>GEN-04</t>
        </is>
      </c>
      <c r="B5" s="7" t="inlineStr">
        <is>
          <t>General</t>
        </is>
      </c>
      <c r="C5" s="7" t="inlineStr">
        <is>
          <t>Executed in Karnataka</t>
        </is>
      </c>
      <c r="D5" s="7" t="inlineStr">
        <is>
          <t>Is the document executed in Karnataka? If not, date of first receipt in Karnataka</t>
        </is>
      </c>
      <c r="E5" s="7" t="inlineStr">
        <is>
          <t>Yes/No + Date</t>
        </is>
      </c>
      <c r="F5" s="7" t="inlineStr">
        <is>
          <t>Yes / No</t>
        </is>
      </c>
      <c r="G5" s="7" t="inlineStr">
        <is>
          <t>User</t>
        </is>
      </c>
      <c r="H5" s="7" t="inlineStr">
        <is>
          <t>Exemption / Adjustment</t>
        </is>
      </c>
      <c r="I5" s="7" t="inlineStr"/>
      <c r="J5" s="7" t="inlineStr">
        <is>
          <t>All documents</t>
        </is>
      </c>
    </row>
    <row r="6">
      <c r="A6" s="10" t="inlineStr">
        <is>
          <t>GEN-05</t>
        </is>
      </c>
      <c r="B6" s="7" t="inlineStr">
        <is>
          <t>General</t>
        </is>
      </c>
      <c r="C6" s="7" t="inlineStr">
        <is>
          <t>Executant category</t>
        </is>
      </c>
      <c r="D6" s="7" t="inlineStr">
        <is>
          <t>Category of the first party / executant</t>
        </is>
      </c>
      <c r="E6" s="7" t="inlineStr">
        <is>
          <t>Dropdown</t>
        </is>
      </c>
      <c r="F6" s="7" t="inlineStr">
        <is>
          <t>Individual, HUF, Partnership Firm, LLP, Company, Co-operative Society, Trust, Central Govt, State Govt, Local Authority, Statutory Authority / Board, Govt-owned Body Corporate, Bank / Financial Institution</t>
        </is>
      </c>
      <c r="G6" s="7" t="inlineStr">
        <is>
          <t>User / Party master</t>
        </is>
      </c>
      <c r="H6" s="7" t="inlineStr">
        <is>
          <t>Identification</t>
        </is>
      </c>
      <c r="I6" s="7" t="n">
        <v>2</v>
      </c>
      <c r="J6" s="7" t="inlineStr">
        <is>
          <t>All documents, 20(2), 20(3)</t>
        </is>
      </c>
    </row>
    <row r="7">
      <c r="A7" s="10" t="inlineStr">
        <is>
          <t>GEN-06</t>
        </is>
      </c>
      <c r="B7" s="7" t="inlineStr">
        <is>
          <t>General</t>
        </is>
      </c>
      <c r="C7" s="7" t="inlineStr">
        <is>
          <t>Claimant category</t>
        </is>
      </c>
      <c r="D7" s="7" t="inlineStr">
        <is>
          <t>Category of the second party / claimant</t>
        </is>
      </c>
      <c r="E7" s="7" t="inlineStr">
        <is>
          <t>Dropdown</t>
        </is>
      </c>
      <c r="F7" s="7" t="inlineStr">
        <is>
          <t>Same list as GEN-05</t>
        </is>
      </c>
      <c r="G7" s="7" t="inlineStr">
        <is>
          <t>User / Party master</t>
        </is>
      </c>
      <c r="H7" s="7" t="inlineStr">
        <is>
          <t>Identification</t>
        </is>
      </c>
      <c r="I7" s="7" t="inlineStr"/>
      <c r="J7" s="7" t="inlineStr">
        <is>
          <t>All documents</t>
        </is>
      </c>
    </row>
    <row r="8">
      <c r="A8" s="10" t="inlineStr">
        <is>
          <t>GEN-07</t>
        </is>
      </c>
      <c r="B8" s="7" t="inlineStr">
        <is>
          <t>General</t>
        </is>
      </c>
      <c r="C8" s="7" t="inlineStr">
        <is>
          <t>Relationship of claimant to executant</t>
        </is>
      </c>
      <c r="D8" s="7" t="inlineStr">
        <is>
          <t>How is the claimant (donee / releasee / lessee / attorney / beneficiary) related to the executant?</t>
        </is>
      </c>
      <c r="E8" s="7" t="inlineStr">
        <is>
          <t>Dropdown</t>
        </is>
      </c>
      <c r="F8" s="7" t="inlineStr">
        <is>
          <t>See Lookup_Lists: Relationship</t>
        </is>
      </c>
      <c r="G8" s="7" t="inlineStr">
        <is>
          <t>User</t>
        </is>
      </c>
      <c r="H8" s="7" t="inlineStr">
        <is>
          <t>Identification</t>
        </is>
      </c>
      <c r="I8" s="7" t="n">
        <v>17</v>
      </c>
      <c r="J8" s="7" t="inlineStr">
        <is>
          <t>28(a), 28(b), 30(1)(i), 30(1)(ii), 30(1)(iii), 30(1)(iv), 30(1)(v), 30(1)(vi), 30(1)-Family, 41(b), 41(eb), 41(ec), 41(h), 45(a), 45(b), 48-A(i), 48-A(ii)</t>
        </is>
      </c>
    </row>
    <row r="9">
      <c r="A9" s="10" t="inlineStr">
        <is>
          <t>GEN-08</t>
        </is>
      </c>
      <c r="B9" s="7" t="inlineStr">
        <is>
          <t>General</t>
        </is>
      </c>
      <c r="C9" s="7" t="inlineStr">
        <is>
          <t>Consideration amount</t>
        </is>
      </c>
      <c r="D9" s="7" t="inlineStr">
        <is>
          <t>Total consideration / amount set forth in the document (Rs.)</t>
        </is>
      </c>
      <c r="E9" s="7" t="inlineStr">
        <is>
          <t>Amount</t>
        </is>
      </c>
      <c r="F9" s="7" t="inlineStr">
        <is>
          <t>&gt;= 0</t>
        </is>
      </c>
      <c r="G9" s="7" t="inlineStr">
        <is>
          <t>User</t>
        </is>
      </c>
      <c r="H9" s="7" t="inlineStr">
        <is>
          <t>Calculation</t>
        </is>
      </c>
      <c r="I9" s="7" t="n">
        <v>18</v>
      </c>
      <c r="J9" s="7" t="inlineStr">
        <is>
          <t>5(e)(i), 5(e)(ii), 5(f), 5(g)(i), 5(g)(ii), 11(a), 20(1), 20(3), 20(5)(i), 20(5)(ii), 20(7), 41(e), 41(ea), 45(a), 52(d), 53(a), 53-A, 54(iii)</t>
        </is>
      </c>
    </row>
    <row r="10">
      <c r="A10" s="10" t="inlineStr">
        <is>
          <t>GEN-09</t>
        </is>
      </c>
      <c r="B10" s="7" t="inlineStr">
        <is>
          <t>General</t>
        </is>
      </c>
      <c r="C10" s="7" t="inlineStr">
        <is>
          <t>Market value of property</t>
        </is>
      </c>
      <c r="D10" s="7" t="inlineStr">
        <is>
          <t>Market value of the property (system computed from Guidance Value / CVC; Sec 45-A)</t>
        </is>
      </c>
      <c r="E10" s="7" t="inlineStr">
        <is>
          <t>Amount</t>
        </is>
      </c>
      <c r="F10" s="7" t="inlineStr">
        <is>
          <t>&gt;= 0</t>
        </is>
      </c>
      <c r="G10" s="7" t="inlineStr">
        <is>
          <t>System (Guidance Value module)</t>
        </is>
      </c>
      <c r="H10" s="7" t="inlineStr">
        <is>
          <t>Calculation</t>
        </is>
      </c>
      <c r="I10" s="7" t="n">
        <v>21</v>
      </c>
      <c r="J10" s="7" t="inlineStr">
        <is>
          <t>5(e)(i), 5(e)(ii), 5(g)(i), 11(a), 14(a), 20(1), 20(5)(i), 20(5)(ii), 20(7), 28(a), 30(1)(vi), 41(e), 41(eb), 41(ec), 45(a), 48-A(i), 48-B, 52(d), 53(b), 53-A, 54(iii)</t>
        </is>
      </c>
    </row>
    <row r="11">
      <c r="A11" s="10" t="inlineStr">
        <is>
          <t>GEN-11</t>
        </is>
      </c>
      <c r="B11" s="7" t="inlineStr">
        <is>
          <t>General</t>
        </is>
      </c>
      <c r="C11" s="7" t="inlineStr">
        <is>
          <t>One of several instruments in a single sale / mortgage / settlement (Sec 4)</t>
        </is>
      </c>
      <c r="D11" s="7" t="inlineStr">
        <is>
          <t>Is this document one of several instruments used to complete one sale / mortgage / settlement? If yes, is it the principal instrument?</t>
        </is>
      </c>
      <c r="E11" s="7" t="inlineStr">
        <is>
          <t>Dropdown</t>
        </is>
      </c>
      <c r="F11" s="7" t="inlineStr">
        <is>
          <t>Not applicable / Principal instrument / Secondary instrument</t>
        </is>
      </c>
      <c r="G11" s="7" t="inlineStr">
        <is>
          <t>User</t>
        </is>
      </c>
      <c r="H11" s="7" t="inlineStr">
        <is>
          <t>Calculation</t>
        </is>
      </c>
      <c r="I11" s="7" t="n">
        <v>4</v>
      </c>
      <c r="J11" s="7" t="inlineStr">
        <is>
          <t>20(1), 34(a), 34(b), 48-A(i), Sale / Mortgage / Settlement (Sec 4)</t>
        </is>
      </c>
    </row>
    <row r="12">
      <c r="A12" s="10" t="inlineStr">
        <is>
          <t>GEN-12</t>
        </is>
      </c>
      <c r="B12" s="7" t="inlineStr">
        <is>
          <t>General</t>
        </is>
      </c>
      <c r="C12" s="7" t="inlineStr">
        <is>
          <t>Earlier stamped instrument between same parties for same property</t>
        </is>
      </c>
      <c r="D12" s="7" t="inlineStr">
        <is>
          <t>Has stamp duty already been paid on an earlier related instrument between the same parties for the same property? (Doc No., Article, Duty paid)</t>
        </is>
      </c>
      <c r="E12" s="7" t="inlineStr">
        <is>
          <t>Yes/No + Doc ref + Amount</t>
        </is>
      </c>
      <c r="F12" s="7" t="inlineStr">
        <is>
          <t>Yes / No</t>
        </is>
      </c>
      <c r="G12" s="7" t="inlineStr">
        <is>
          <t>User / System (Doc search)</t>
        </is>
      </c>
      <c r="H12" s="7" t="inlineStr">
        <is>
          <t>Exemption / Adjustment</t>
        </is>
      </c>
      <c r="I12" s="7" t="n">
        <v>5</v>
      </c>
      <c r="J12" s="7" t="inlineStr">
        <is>
          <t>5(e)(i), 5(e)(ii), 5(h), 20(1), 20(3), Adjustment provisos</t>
        </is>
      </c>
    </row>
    <row r="13">
      <c r="A13" s="10" t="inlineStr">
        <is>
          <t>GEN-13</t>
        </is>
      </c>
      <c r="B13" s="7" t="inlineStr">
        <is>
          <t>General</t>
        </is>
      </c>
      <c r="C13" s="7" t="inlineStr">
        <is>
          <t>Purpose of document</t>
        </is>
      </c>
      <c r="D13" s="7" t="inlineStr">
        <is>
          <t>Purpose for which the document is executed (for exemption checks)</t>
        </is>
      </c>
      <c r="E13" s="7" t="inlineStr">
        <is>
          <t>Dropdown / Text</t>
        </is>
      </c>
      <c r="F13" s="7" t="inlineStr">
        <is>
          <t>Court filing, Pension, Armed forces enlistment, Public charity, Govt record, Other</t>
        </is>
      </c>
      <c r="G13" s="7" t="inlineStr">
        <is>
          <t>User</t>
        </is>
      </c>
      <c r="H13" s="7" t="inlineStr">
        <is>
          <t>Exemption / Adjustment</t>
        </is>
      </c>
      <c r="I13" s="7" t="n">
        <v>1</v>
      </c>
      <c r="J13" s="7" t="inlineStr">
        <is>
          <t>4</t>
        </is>
      </c>
    </row>
    <row r="14">
      <c r="A14" s="8" t="inlineStr">
        <is>
          <t>PRP-01</t>
        </is>
      </c>
      <c r="B14" s="9" t="inlineStr">
        <is>
          <t>Property</t>
        </is>
      </c>
      <c r="C14" s="9" t="inlineStr">
        <is>
          <t>Subject matter type</t>
        </is>
      </c>
      <c r="D14" s="7" t="inlineStr">
        <is>
          <t>What is the subject matter of the document?</t>
        </is>
      </c>
      <c r="E14" s="7" t="inlineStr">
        <is>
          <t>Dropdown</t>
        </is>
      </c>
      <c r="F14" s="7" t="inlineStr">
        <is>
          <t>Immovable property, Movable property, Both, Money, Shares / Securities, Debentures, Intellectual Property Rights, Transferable Development Rights (TDR), Goods, Receivables, Claim / Right, None</t>
        </is>
      </c>
      <c r="G14" s="7" t="inlineStr">
        <is>
          <t>User</t>
        </is>
      </c>
      <c r="H14" s="7" t="inlineStr">
        <is>
          <t>Identification</t>
        </is>
      </c>
      <c r="I14" s="7" t="n">
        <v>15</v>
      </c>
      <c r="J14" s="7" t="inlineStr">
        <is>
          <t>20(1), 20(6), 20(7), 26, 30(1)(i), 30(1)(ii), 30(1)(iii), 30(1)(iv), 30(1)(v), 30(1)(vi), 30(1)-Family, 30(2)(a)(i), 30(2)(a)(ii), 30(2)(b), 30(2)(c)</t>
        </is>
      </c>
    </row>
    <row r="15">
      <c r="A15" s="10" t="inlineStr">
        <is>
          <t>PRP-02</t>
        </is>
      </c>
      <c r="B15" s="7" t="inlineStr">
        <is>
          <t>Property</t>
        </is>
      </c>
      <c r="C15" s="7" t="inlineStr">
        <is>
          <t>Immovable property type</t>
        </is>
      </c>
      <c r="D15" s="7" t="inlineStr">
        <is>
          <t>Type of immovable property</t>
        </is>
      </c>
      <c r="E15" s="7" t="inlineStr">
        <is>
          <t>Dropdown</t>
        </is>
      </c>
      <c r="F15" s="7" t="inlineStr">
        <is>
          <t>Agricultural land, Converted / non-agricultural land / site, Building / House, Flat / Apartment, Industrial shed / plot, Multiple types</t>
        </is>
      </c>
      <c r="G15" s="7" t="inlineStr">
        <is>
          <t>User / Property module</t>
        </is>
      </c>
      <c r="H15" s="7" t="inlineStr">
        <is>
          <t>Identification</t>
        </is>
      </c>
      <c r="I15" s="7" t="n">
        <v>9</v>
      </c>
      <c r="J15" s="7" t="inlineStr">
        <is>
          <t>20(1), 20(2), 28(a), 28(b), 39(a)(1), 39(a)(2), 39(b), 39(c), 39(d)</t>
        </is>
      </c>
    </row>
    <row r="16">
      <c r="A16" s="10" t="inlineStr">
        <is>
          <t>PRP-03</t>
        </is>
      </c>
      <c r="B16" s="7" t="inlineStr">
        <is>
          <t>Property</t>
        </is>
      </c>
      <c r="C16" s="7" t="inlineStr">
        <is>
          <t>Local body limits where property is situated</t>
        </is>
      </c>
      <c r="D16" s="7" t="inlineStr">
        <is>
          <t>Within which local body limits is the property situated? (multi-select if several properties)</t>
        </is>
      </c>
      <c r="E16" s="7" t="inlineStr">
        <is>
          <t>Multi-select</t>
        </is>
      </c>
      <c r="F16" s="7" t="inlineStr">
        <is>
          <t>LL-1, LL-2, LL-3 (see Jurisdiction_Slab)</t>
        </is>
      </c>
      <c r="G16" s="7" t="inlineStr">
        <is>
          <t>System (from property location / village master)</t>
        </is>
      </c>
      <c r="H16" s="7" t="inlineStr">
        <is>
          <t>Calculation</t>
        </is>
      </c>
      <c r="I16" s="7" t="n">
        <v>4</v>
      </c>
      <c r="J16" s="7" t="inlineStr">
        <is>
          <t>28(b), 30(1)-Family, 45(b), 48-A(ii)</t>
        </is>
      </c>
    </row>
    <row r="17">
      <c r="A17" s="10" t="inlineStr">
        <is>
          <t>PRP-04</t>
        </is>
      </c>
      <c r="B17" s="7" t="inlineStr">
        <is>
          <t>Property</t>
        </is>
      </c>
      <c r="C17" s="7" t="inlineStr">
        <is>
          <t>Property use</t>
        </is>
      </c>
      <c r="D17" s="7" t="inlineStr">
        <is>
          <t>Use of the property</t>
        </is>
      </c>
      <c r="E17" s="7" t="inlineStr">
        <is>
          <t>Dropdown</t>
        </is>
      </c>
      <c r="F17" s="7" t="inlineStr">
        <is>
          <t>Residential, Commercial, Industrial</t>
        </is>
      </c>
      <c r="G17" s="7" t="inlineStr">
        <is>
          <t>User / Property module</t>
        </is>
      </c>
      <c r="H17" s="7" t="inlineStr">
        <is>
          <t>Identification</t>
        </is>
      </c>
      <c r="I17" s="7" t="n">
        <v>4</v>
      </c>
      <c r="J17" s="7" t="inlineStr">
        <is>
          <t>30(1)(i), 30(1)(ii), 32-A(i), 32-A(ii)</t>
        </is>
      </c>
    </row>
    <row r="18">
      <c r="A18" s="10" t="inlineStr">
        <is>
          <t>PRP-05</t>
        </is>
      </c>
      <c r="B18" s="7" t="inlineStr">
        <is>
          <t>Property</t>
        </is>
      </c>
      <c r="C18" s="7" t="inlineStr">
        <is>
          <t>Property situated in Karnataka</t>
        </is>
      </c>
      <c r="D18" s="7" t="inlineStr">
        <is>
          <t>Is the property situated in Karnataka?</t>
        </is>
      </c>
      <c r="E18" s="7" t="inlineStr">
        <is>
          <t>Yes/No</t>
        </is>
      </c>
      <c r="F18" s="7" t="inlineStr">
        <is>
          <t>Yes / No</t>
        </is>
      </c>
      <c r="G18" s="7" t="inlineStr">
        <is>
          <t>System</t>
        </is>
      </c>
      <c r="H18" s="7" t="inlineStr">
        <is>
          <t>Identification</t>
        </is>
      </c>
      <c r="I18" s="7" t="n">
        <v>1</v>
      </c>
      <c r="J18" s="7" t="inlineStr">
        <is>
          <t>41(eb)</t>
        </is>
      </c>
    </row>
    <row r="19">
      <c r="A19" s="10" t="inlineStr">
        <is>
          <t>PRP-06</t>
        </is>
      </c>
      <c r="B19" s="7" t="inlineStr">
        <is>
          <t>Property</t>
        </is>
      </c>
      <c r="C19" s="7" t="inlineStr">
        <is>
          <t>Flat / Apartment / Unit under KOFA / KAOA or co-op / company share</t>
        </is>
      </c>
      <c r="D19" s="7" t="inlineStr">
        <is>
          <t>Is the property a Flat (KOFA 1972) / Apartment (KAOA 1972) / unit held through share of co-operative society or company?</t>
        </is>
      </c>
      <c r="E19" s="7" t="inlineStr">
        <is>
          <t>Yes/No</t>
        </is>
      </c>
      <c r="F19" s="7" t="inlineStr">
        <is>
          <t>Yes / No</t>
        </is>
      </c>
      <c r="G19" s="7" t="inlineStr">
        <is>
          <t>User / Property module</t>
        </is>
      </c>
      <c r="H19" s="7" t="inlineStr">
        <is>
          <t>Identification</t>
        </is>
      </c>
      <c r="I19" s="7" t="n">
        <v>4</v>
      </c>
      <c r="J19" s="7" t="inlineStr">
        <is>
          <t>5(da), 20(1), 20(2), 20(3)</t>
        </is>
      </c>
    </row>
    <row r="20">
      <c r="A20" s="10" t="inlineStr">
        <is>
          <t>PRP-07</t>
        </is>
      </c>
      <c r="B20" s="7" t="inlineStr">
        <is>
          <t>Property</t>
        </is>
      </c>
      <c r="C20" s="7" t="inlineStr">
        <is>
          <t>Market value of fully constructed flat / unit</t>
        </is>
      </c>
      <c r="D20" s="7" t="inlineStr">
        <is>
          <t>Market value of the flat / apartment / unit deemed fully constructed (irrespective of stage of construction)</t>
        </is>
      </c>
      <c r="E20" s="7" t="inlineStr">
        <is>
          <t>Amount</t>
        </is>
      </c>
      <c r="F20" s="7" t="inlineStr">
        <is>
          <t>&gt;= 0</t>
        </is>
      </c>
      <c r="G20" s="7" t="inlineStr">
        <is>
          <t>System (Guidance Value module)</t>
        </is>
      </c>
      <c r="H20" s="7" t="inlineStr">
        <is>
          <t>Calculation</t>
        </is>
      </c>
      <c r="I20" s="7" t="n">
        <v>1</v>
      </c>
      <c r="J20" s="7" t="inlineStr">
        <is>
          <t>20(2)</t>
        </is>
      </c>
    </row>
    <row r="21">
      <c r="A21" s="10" t="inlineStr">
        <is>
          <t>PRP-08</t>
        </is>
      </c>
      <c r="B21" s="7" t="inlineStr">
        <is>
          <t>Property</t>
        </is>
      </c>
      <c r="C21" s="7" t="inlineStr">
        <is>
          <t>Industrial machinery treated as</t>
        </is>
      </c>
      <c r="D21" s="7" t="inlineStr">
        <is>
          <t>Is the industrial machinery treated as movable or immovable property?</t>
        </is>
      </c>
      <c r="E21" s="7" t="inlineStr">
        <is>
          <t>Dropdown</t>
        </is>
      </c>
      <c r="F21" s="7" t="inlineStr">
        <is>
          <t>Movable, Immovable</t>
        </is>
      </c>
      <c r="G21" s="7" t="inlineStr">
        <is>
          <t>User</t>
        </is>
      </c>
      <c r="H21" s="7" t="inlineStr">
        <is>
          <t>Identification</t>
        </is>
      </c>
      <c r="I21" s="7" t="n">
        <v>2</v>
      </c>
      <c r="J21" s="7" t="inlineStr">
        <is>
          <t>20(5)(i), 20(5)(ii)</t>
        </is>
      </c>
    </row>
    <row r="22">
      <c r="A22" s="10" t="inlineStr">
        <is>
          <t>PRP-09</t>
        </is>
      </c>
      <c r="B22" s="7" t="inlineStr">
        <is>
          <t>Property</t>
        </is>
      </c>
      <c r="C22" s="7" t="inlineStr">
        <is>
          <t>Property-wise market values (Exchange)</t>
        </is>
      </c>
      <c r="D22" s="7" t="inlineStr">
        <is>
          <t>Market value of each property exchanged (system picks the property of greatest value)</t>
        </is>
      </c>
      <c r="E22" s="7" t="inlineStr">
        <is>
          <t>Grid (Amount per property)</t>
        </is>
      </c>
      <c r="F22" s="7" t="inlineStr">
        <is>
          <t>&gt;= 0</t>
        </is>
      </c>
      <c r="G22" s="7" t="inlineStr">
        <is>
          <t>System (Guidance Value module)</t>
        </is>
      </c>
      <c r="H22" s="7" t="inlineStr">
        <is>
          <t>Calculation</t>
        </is>
      </c>
      <c r="I22" s="7" t="n">
        <v>1</v>
      </c>
      <c r="J22" s="7" t="inlineStr">
        <is>
          <t>26</t>
        </is>
      </c>
    </row>
    <row r="23">
      <c r="A23" s="10" t="inlineStr">
        <is>
          <t>PRP-10</t>
        </is>
      </c>
      <c r="B23" s="7" t="inlineStr">
        <is>
          <t>Property</t>
        </is>
      </c>
      <c r="C23" s="7" t="inlineStr">
        <is>
          <t>Value of goods</t>
        </is>
      </c>
      <c r="D23" s="7" t="inlineStr">
        <is>
          <t>Value of the goods covered by the document</t>
        </is>
      </c>
      <c r="E23" s="7" t="inlineStr">
        <is>
          <t>Amount</t>
        </is>
      </c>
      <c r="F23" s="7" t="inlineStr">
        <is>
          <t>&gt;= 0</t>
        </is>
      </c>
      <c r="G23" s="7" t="inlineStr">
        <is>
          <t>User</t>
        </is>
      </c>
      <c r="H23" s="7" t="inlineStr">
        <is>
          <t>Calculation</t>
        </is>
      </c>
      <c r="I23" s="7" t="n">
        <v>2</v>
      </c>
      <c r="J23" s="7" t="inlineStr">
        <is>
          <t>24, 37(a)</t>
        </is>
      </c>
    </row>
    <row r="24">
      <c r="A24" s="8" t="inlineStr">
        <is>
          <t>AGR-01</t>
        </is>
      </c>
      <c r="B24" s="9" t="inlineStr">
        <is>
          <t>Agreement</t>
        </is>
      </c>
      <c r="C24" s="9" t="inlineStr">
        <is>
          <t>Subject of the agreement</t>
        </is>
      </c>
      <c r="D24" s="7" t="inlineStr">
        <is>
          <t>What does the agreement relate to?</t>
        </is>
      </c>
      <c r="E24" s="7" t="inlineStr">
        <is>
          <t>Dropdown</t>
        </is>
      </c>
      <c r="F24" s="7" t="inlineStr">
        <is>
          <t>See Lookup_Lists: Agreement Subject (AS-01..AS-16)</t>
        </is>
      </c>
      <c r="G24" s="7" t="inlineStr">
        <is>
          <t>User</t>
        </is>
      </c>
      <c r="H24" s="7" t="inlineStr">
        <is>
          <t>Identification</t>
        </is>
      </c>
      <c r="I24" s="7" t="n">
        <v>21</v>
      </c>
      <c r="J24" s="7" t="inlineStr">
        <is>
          <t>5(a), 5(b), 5(c)(i), 5(c)(ii), 5(d), 5(da), 5(e)(i), 5(e)(ii), 5(f), 5(g)(i), 5(g)(ii), 5(h), 5(i), 5(i-a), 5(i-b), 5(i-c), 5(i-d)(i), 5(i-d)(ii), 5(i-e)(i), 5(i-e)(ii), 5(j)</t>
        </is>
      </c>
    </row>
    <row r="25">
      <c r="A25" s="10" t="inlineStr">
        <is>
          <t>AGR-02</t>
        </is>
      </c>
      <c r="B25" s="7" t="inlineStr">
        <is>
          <t>Agreement</t>
        </is>
      </c>
      <c r="C25" s="7" t="inlineStr">
        <is>
          <t>Possession delivered / agreed before conveyance</t>
        </is>
      </c>
      <c r="D25" s="7" t="inlineStr">
        <is>
          <t>Has possession of the property been delivered, or agreed to be delivered, before executing the conveyance?</t>
        </is>
      </c>
      <c r="E25" s="7" t="inlineStr">
        <is>
          <t>Yes/No</t>
        </is>
      </c>
      <c r="F25" s="7" t="inlineStr">
        <is>
          <t>Yes / No</t>
        </is>
      </c>
      <c r="G25" s="7" t="inlineStr">
        <is>
          <t>User</t>
        </is>
      </c>
      <c r="H25" s="7" t="inlineStr">
        <is>
          <t>Identification</t>
        </is>
      </c>
      <c r="I25" s="7" t="n">
        <v>4</v>
      </c>
      <c r="J25" s="7" t="inlineStr">
        <is>
          <t>5(e)(i), 5(e)(ii), 5(g)(i), 5(g)(ii)</t>
        </is>
      </c>
    </row>
    <row r="26">
      <c r="A26" s="10" t="inlineStr">
        <is>
          <t>AGR-03</t>
        </is>
      </c>
      <c r="B26" s="7" t="inlineStr">
        <is>
          <t>Agreement</t>
        </is>
      </c>
      <c r="C26" s="7" t="inlineStr">
        <is>
          <t>Separate POA from seller to purchaser referred in agreement</t>
        </is>
      </c>
      <c r="D26" s="7" t="inlineStr">
        <is>
          <t>Does the agreement refer to a separate Power of Attorney given by the seller to the purchaser for the same property? (If Yes, possession is deemed delivered - Explanation I to 5(e))</t>
        </is>
      </c>
      <c r="E26" s="7" t="inlineStr">
        <is>
          <t>Yes/No</t>
        </is>
      </c>
      <c r="F26" s="7" t="inlineStr">
        <is>
          <t>Yes / No</t>
        </is>
      </c>
      <c r="G26" s="7" t="inlineStr">
        <is>
          <t>User</t>
        </is>
      </c>
      <c r="H26" s="7" t="inlineStr">
        <is>
          <t>Identification</t>
        </is>
      </c>
      <c r="I26" s="7" t="n">
        <v>2</v>
      </c>
      <c r="J26" s="7" t="inlineStr">
        <is>
          <t>5(e)(i), 5(e)(ii)</t>
        </is>
      </c>
    </row>
    <row r="27">
      <c r="A27" s="10" t="inlineStr">
        <is>
          <t>AGR-04</t>
        </is>
      </c>
      <c r="B27" s="7" t="inlineStr">
        <is>
          <t>Agreement</t>
        </is>
      </c>
      <c r="C27" s="7" t="inlineStr">
        <is>
          <t>Allotting authority</t>
        </is>
      </c>
      <c r="D27" s="7" t="inlineStr">
        <is>
          <t>Which authority is allotting the site / building / shed / flat under lease-cum-sale?</t>
        </is>
      </c>
      <c r="E27" s="7" t="inlineStr">
        <is>
          <t>Dropdown</t>
        </is>
      </c>
      <c r="F27" s="7" t="inlineStr">
        <is>
          <t>See Lookup_Lists: Allotting Authority</t>
        </is>
      </c>
      <c r="G27" s="7" t="inlineStr">
        <is>
          <t>User</t>
        </is>
      </c>
      <c r="H27" s="7" t="inlineStr">
        <is>
          <t>Identification</t>
        </is>
      </c>
      <c r="I27" s="7" t="n">
        <v>2</v>
      </c>
      <c r="J27" s="7" t="inlineStr">
        <is>
          <t>5(d), 5(da)</t>
        </is>
      </c>
    </row>
    <row r="28">
      <c r="A28" s="10" t="inlineStr">
        <is>
          <t>AGR-05</t>
        </is>
      </c>
      <c r="B28" s="7" t="inlineStr">
        <is>
          <t>Agreement</t>
        </is>
      </c>
      <c r="C28" s="7" t="inlineStr">
        <is>
          <t>Security deposit</t>
        </is>
      </c>
      <c r="D28" s="7" t="inlineStr">
        <is>
          <t>Security deposit amount under the lease-cum-sale agreement (Rs.)</t>
        </is>
      </c>
      <c r="E28" s="7" t="inlineStr">
        <is>
          <t>Amount</t>
        </is>
      </c>
      <c r="F28" s="7" t="inlineStr">
        <is>
          <t>&gt;= 0</t>
        </is>
      </c>
      <c r="G28" s="7" t="inlineStr">
        <is>
          <t>User</t>
        </is>
      </c>
      <c r="H28" s="7" t="inlineStr">
        <is>
          <t>Calculation</t>
        </is>
      </c>
      <c r="I28" s="7" t="n">
        <v>2</v>
      </c>
      <c r="J28" s="7" t="inlineStr">
        <is>
          <t>5(d), 5(da)</t>
        </is>
      </c>
    </row>
    <row r="29">
      <c r="A29" s="10" t="inlineStr">
        <is>
          <t>AGR-06</t>
        </is>
      </c>
      <c r="B29" s="7" t="inlineStr">
        <is>
          <t>Agreement</t>
        </is>
      </c>
      <c r="C29" s="7" t="inlineStr">
        <is>
          <t>Average annual rent reserved</t>
        </is>
      </c>
      <c r="D29" s="7" t="inlineStr">
        <is>
          <t>Average annual rent reserved under the lease-cum-sale agreement (Rs.)</t>
        </is>
      </c>
      <c r="E29" s="7" t="inlineStr">
        <is>
          <t>Amount</t>
        </is>
      </c>
      <c r="F29" s="7" t="inlineStr">
        <is>
          <t>&gt;= 0</t>
        </is>
      </c>
      <c r="G29" s="7" t="inlineStr">
        <is>
          <t>User / System</t>
        </is>
      </c>
      <c r="H29" s="7" t="inlineStr">
        <is>
          <t>Calculation</t>
        </is>
      </c>
      <c r="I29" s="7" t="n">
        <v>2</v>
      </c>
      <c r="J29" s="7" t="inlineStr">
        <is>
          <t>5(d), 5(da)</t>
        </is>
      </c>
    </row>
    <row r="30">
      <c r="A30" s="10" t="inlineStr">
        <is>
          <t>AGR-07</t>
        </is>
      </c>
      <c r="B30" s="7" t="inlineStr">
        <is>
          <t>Agreement</t>
        </is>
      </c>
      <c r="C30" s="7" t="inlineStr">
        <is>
          <t>With / through member of recognised stock exchange</t>
        </is>
      </c>
      <c r="D30" s="7" t="inlineStr">
        <is>
          <t>Is the agreement with / through a member, or between members, of a stock exchange recognised under SCRA 1956?</t>
        </is>
      </c>
      <c r="E30" s="7" t="inlineStr">
        <is>
          <t>Yes/No</t>
        </is>
      </c>
      <c r="F30" s="7" t="inlineStr">
        <is>
          <t>Yes / No</t>
        </is>
      </c>
      <c r="G30" s="7" t="inlineStr">
        <is>
          <t>User</t>
        </is>
      </c>
      <c r="H30" s="7" t="inlineStr">
        <is>
          <t>Identification</t>
        </is>
      </c>
      <c r="I30" s="7" t="n">
        <v>2</v>
      </c>
      <c r="J30" s="7" t="inlineStr">
        <is>
          <t>5(c)(i), 5(c)(ii)</t>
        </is>
      </c>
    </row>
    <row r="31">
      <c r="A31" s="10" t="inlineStr">
        <is>
          <t>AGR-08</t>
        </is>
      </c>
      <c r="B31" s="7" t="inlineStr">
        <is>
          <t>Agreement</t>
        </is>
      </c>
      <c r="C31" s="7" t="inlineStr">
        <is>
          <t>Value of security / bill</t>
        </is>
      </c>
      <c r="D31" s="7" t="inlineStr">
        <is>
          <t>Value of the bill of exchange / security at the time of purchase or sale (Rs.)</t>
        </is>
      </c>
      <c r="E31" s="7" t="inlineStr">
        <is>
          <t>Amount</t>
        </is>
      </c>
      <c r="F31" s="7" t="inlineStr">
        <is>
          <t>&gt;= 0</t>
        </is>
      </c>
      <c r="G31" s="7" t="inlineStr">
        <is>
          <t>User</t>
        </is>
      </c>
      <c r="H31" s="7" t="inlineStr">
        <is>
          <t>Calculation</t>
        </is>
      </c>
      <c r="I31" s="7" t="n">
        <v>12</v>
      </c>
      <c r="J31" s="7" t="inlineStr">
        <is>
          <t>5(a), 5(b), 5(c)(i), 5(c)(ii), 18-A(1), 18-A(2), 18-A(3), 37(b), 37(c), 37(d), 37(e), 37(f)</t>
        </is>
      </c>
    </row>
    <row r="32">
      <c r="A32" s="10" t="inlineStr">
        <is>
          <t>AGR-09</t>
        </is>
      </c>
      <c r="B32" s="7" t="inlineStr">
        <is>
          <t>Agreement</t>
        </is>
      </c>
      <c r="C32" s="7" t="inlineStr">
        <is>
          <t>Value of chit</t>
        </is>
      </c>
      <c r="D32" s="7" t="inlineStr">
        <is>
          <t>Value of the chit (Rs.)</t>
        </is>
      </c>
      <c r="E32" s="7" t="inlineStr">
        <is>
          <t>Amount</t>
        </is>
      </c>
      <c r="F32" s="7" t="inlineStr">
        <is>
          <t>&gt;= 0</t>
        </is>
      </c>
      <c r="G32" s="7" t="inlineStr">
        <is>
          <t>User</t>
        </is>
      </c>
      <c r="H32" s="7" t="inlineStr">
        <is>
          <t>Calculation</t>
        </is>
      </c>
      <c r="I32" s="7" t="n">
        <v>2</v>
      </c>
      <c r="J32" s="7" t="inlineStr">
        <is>
          <t>5(i-e)(i), 5(i-e)(ii)</t>
        </is>
      </c>
    </row>
    <row r="33">
      <c r="A33" s="10" t="inlineStr">
        <is>
          <t>AGR-10</t>
        </is>
      </c>
      <c r="B33" s="7" t="inlineStr">
        <is>
          <t>Agreement</t>
        </is>
      </c>
      <c r="C33" s="7" t="inlineStr">
        <is>
          <t>Contract amount / consideration</t>
        </is>
      </c>
      <c r="D33" s="7" t="inlineStr">
        <is>
          <t>Amount or consideration stated in the agreement (works contract / advertisement / IPR) (Rs.)</t>
        </is>
      </c>
      <c r="E33" s="7" t="inlineStr">
        <is>
          <t>Amount</t>
        </is>
      </c>
      <c r="F33" s="7" t="inlineStr">
        <is>
          <t>&gt;= 0</t>
        </is>
      </c>
      <c r="G33" s="7" t="inlineStr">
        <is>
          <t>User</t>
        </is>
      </c>
      <c r="H33" s="7" t="inlineStr">
        <is>
          <t>Calculation</t>
        </is>
      </c>
      <c r="I33" s="7" t="n">
        <v>4</v>
      </c>
      <c r="J33" s="7" t="inlineStr">
        <is>
          <t>5(i-b), 5(i-c), 5(i-d)(i), 5(i-d)(ii)</t>
        </is>
      </c>
    </row>
    <row r="34">
      <c r="A34" s="10" t="inlineStr">
        <is>
          <t>AGR-11</t>
        </is>
      </c>
      <c r="B34" s="7" t="inlineStr">
        <is>
          <t>Agreement</t>
        </is>
      </c>
      <c r="C34" s="7" t="inlineStr">
        <is>
          <t>MV of undivided share of land (JDA)</t>
        </is>
      </c>
      <c r="D34" s="7" t="inlineStr">
        <is>
          <t>Market value of the undivided share / portion of land conveyed by owner to developer</t>
        </is>
      </c>
      <c r="E34" s="7" t="inlineStr">
        <is>
          <t>Amount</t>
        </is>
      </c>
      <c r="F34" s="7" t="inlineStr">
        <is>
          <t>&gt;= 0</t>
        </is>
      </c>
      <c r="G34" s="7" t="inlineStr">
        <is>
          <t>System (Guidance Value module)</t>
        </is>
      </c>
      <c r="H34" s="7" t="inlineStr">
        <is>
          <t>Calculation</t>
        </is>
      </c>
      <c r="I34" s="7" t="n">
        <v>2</v>
      </c>
      <c r="J34" s="7" t="inlineStr">
        <is>
          <t>5(f), 41(ea)</t>
        </is>
      </c>
    </row>
    <row r="35">
      <c r="A35" s="10" t="inlineStr">
        <is>
          <t>AGR-12</t>
        </is>
      </c>
      <c r="B35" s="7" t="inlineStr">
        <is>
          <t>Agreement</t>
        </is>
      </c>
      <c r="C35" s="7" t="inlineStr">
        <is>
          <t>MV of constructed share to owner (JDA)</t>
        </is>
      </c>
      <c r="D35" s="7" t="inlineStr">
        <is>
          <t>Market value of the share / portion of constructed building to be given to the owner / lessee</t>
        </is>
      </c>
      <c r="E35" s="7" t="inlineStr">
        <is>
          <t>Amount</t>
        </is>
      </c>
      <c r="F35" s="7" t="inlineStr">
        <is>
          <t>&gt;= 0</t>
        </is>
      </c>
      <c r="G35" s="7" t="inlineStr">
        <is>
          <t>System (Guidance Value module)</t>
        </is>
      </c>
      <c r="H35" s="7" t="inlineStr">
        <is>
          <t>Calculation</t>
        </is>
      </c>
      <c r="I35" s="7" t="n">
        <v>2</v>
      </c>
      <c r="J35" s="7" t="inlineStr">
        <is>
          <t>5(f), 41(ea)</t>
        </is>
      </c>
    </row>
    <row r="36">
      <c r="A36" s="10" t="inlineStr">
        <is>
          <t>AGR-13</t>
        </is>
      </c>
      <c r="B36" s="7" t="inlineStr">
        <is>
          <t>Agreement</t>
        </is>
      </c>
      <c r="C36" s="7" t="inlineStr">
        <is>
          <t>Money advanced / security deposit (JDA)</t>
        </is>
      </c>
      <c r="D36" s="7" t="inlineStr">
        <is>
          <t>Money advanced, including refundable or adjustable security deposit (Rs.)</t>
        </is>
      </c>
      <c r="E36" s="7" t="inlineStr">
        <is>
          <t>Amount</t>
        </is>
      </c>
      <c r="F36" s="7" t="inlineStr">
        <is>
          <t>&gt;= 0</t>
        </is>
      </c>
      <c r="G36" s="7" t="inlineStr">
        <is>
          <t>User</t>
        </is>
      </c>
      <c r="H36" s="7" t="inlineStr">
        <is>
          <t>Calculation</t>
        </is>
      </c>
      <c r="I36" s="7" t="n">
        <v>2</v>
      </c>
      <c r="J36" s="7" t="inlineStr">
        <is>
          <t>5(f), 41(ea)</t>
        </is>
      </c>
    </row>
    <row r="37">
      <c r="A37" s="10" t="inlineStr">
        <is>
          <t>AGR-14</t>
        </is>
      </c>
      <c r="B37" s="7" t="inlineStr">
        <is>
          <t>Agreement</t>
        </is>
      </c>
      <c r="C37" s="7" t="inlineStr">
        <is>
          <t>POA under 41(ea) already stamped</t>
        </is>
      </c>
      <c r="D37" s="7" t="inlineStr">
        <is>
          <t>Has proper duty been paid under Art 41(ea) on a POA between the same parties for the same property? (caps 5(f) duty at Rs.200)</t>
        </is>
      </c>
      <c r="E37" s="7" t="inlineStr">
        <is>
          <t>Yes/No + Doc ref</t>
        </is>
      </c>
      <c r="F37" s="7" t="inlineStr">
        <is>
          <t>Yes / No</t>
        </is>
      </c>
      <c r="G37" s="7" t="inlineStr">
        <is>
          <t>User / System</t>
        </is>
      </c>
      <c r="H37" s="7" t="inlineStr">
        <is>
          <t>Exemption / Adjustment</t>
        </is>
      </c>
      <c r="I37" s="7" t="n">
        <v>1</v>
      </c>
      <c r="J37" s="7" t="inlineStr">
        <is>
          <t>5(f)</t>
        </is>
      </c>
    </row>
    <row r="38">
      <c r="A38" s="10" t="inlineStr">
        <is>
          <t>AGR-15</t>
        </is>
      </c>
      <c r="B38" s="7" t="inlineStr">
        <is>
          <t>Agreement</t>
        </is>
      </c>
      <c r="C38" s="7" t="inlineStr">
        <is>
          <t>Deed of cancellation of earlier agreement</t>
        </is>
      </c>
      <c r="D38" s="7" t="inlineStr">
        <is>
          <t>Is this a deed cancelling an earlier agreement between the same parties for the same property on which proper duty was paid? (caps duty at Rs.500)</t>
        </is>
      </c>
      <c r="E38" s="7" t="inlineStr">
        <is>
          <t>Yes/No + Doc ref</t>
        </is>
      </c>
      <c r="F38" s="7" t="inlineStr">
        <is>
          <t>Yes / No</t>
        </is>
      </c>
      <c r="G38" s="7" t="inlineStr">
        <is>
          <t>User / System</t>
        </is>
      </c>
      <c r="H38" s="7" t="inlineStr">
        <is>
          <t>Exemption / Adjustment</t>
        </is>
      </c>
      <c r="I38" s="7" t="n">
        <v>1</v>
      </c>
      <c r="J38" s="7" t="inlineStr">
        <is>
          <t>14(c)</t>
        </is>
      </c>
    </row>
    <row r="39">
      <c r="A39" s="8" t="inlineStr">
        <is>
          <t>LON-01</t>
        </is>
      </c>
      <c r="B39" s="9" t="inlineStr">
        <is>
          <t>Loan / Security</t>
        </is>
      </c>
      <c r="C39" s="9" t="inlineStr">
        <is>
          <t>Loan / debt amount</t>
        </is>
      </c>
      <c r="D39" s="7" t="inlineStr">
        <is>
          <t>Amount of loan / debt secured (Rs.)</t>
        </is>
      </c>
      <c r="E39" s="7" t="inlineStr">
        <is>
          <t>Amount</t>
        </is>
      </c>
      <c r="F39" s="7" t="inlineStr">
        <is>
          <t>&gt;= 0</t>
        </is>
      </c>
      <c r="G39" s="7" t="inlineStr">
        <is>
          <t>User</t>
        </is>
      </c>
      <c r="H39" s="7" t="inlineStr">
        <is>
          <t>Calculation</t>
        </is>
      </c>
      <c r="I39" s="7" t="n">
        <v>18</v>
      </c>
      <c r="J39" s="7" t="inlineStr">
        <is>
          <t>5(h), 6(1)(i), 6(1)(ii), 6(2)-Exempt, 6(2)(i), 6(2)(ii), 27(a), 27(b)(ii), 27(b)(iii), 34(a), 34(b), 34(c)(i), 34(c)(ii), 34(d)(i), 34(d)(ii), 35(a), 35(b), 45(c)</t>
        </is>
      </c>
    </row>
    <row r="40">
      <c r="A40" s="10" t="inlineStr">
        <is>
          <t>LON-02</t>
        </is>
      </c>
      <c r="B40" s="7" t="inlineStr">
        <is>
          <t>Loan / Security</t>
        </is>
      </c>
      <c r="C40" s="7" t="inlineStr">
        <is>
          <t>Repayable on demand</t>
        </is>
      </c>
      <c r="D40" s="7" t="inlineStr">
        <is>
          <t>Is the loan / debt repayable on demand?</t>
        </is>
      </c>
      <c r="E40" s="7" t="inlineStr">
        <is>
          <t>Yes/No</t>
        </is>
      </c>
      <c r="F40" s="7" t="inlineStr">
        <is>
          <t>Yes / No</t>
        </is>
      </c>
      <c r="G40" s="7" t="inlineStr">
        <is>
          <t>User</t>
        </is>
      </c>
      <c r="H40" s="7" t="inlineStr">
        <is>
          <t>Identification</t>
        </is>
      </c>
      <c r="I40" s="7" t="n">
        <v>4</v>
      </c>
      <c r="J40" s="7" t="inlineStr">
        <is>
          <t>6(1)(i), 6(1)(ii), 34(d)(i), 34(d)(ii)</t>
        </is>
      </c>
    </row>
    <row r="41">
      <c r="A41" s="10" t="inlineStr">
        <is>
          <t>LON-03</t>
        </is>
      </c>
      <c r="B41" s="7" t="inlineStr">
        <is>
          <t>Loan / Security</t>
        </is>
      </c>
      <c r="C41" s="7" t="inlineStr">
        <is>
          <t>Form of security</t>
        </is>
      </c>
      <c r="D41" s="7" t="inlineStr">
        <is>
          <t>What form of security is created?</t>
        </is>
      </c>
      <c r="E41" s="7" t="inlineStr">
        <is>
          <t>Dropdown</t>
        </is>
      </c>
      <c r="F41" s="7" t="inlineStr">
        <is>
          <t>See Lookup_Lists: Form of Security</t>
        </is>
      </c>
      <c r="G41" s="7" t="inlineStr">
        <is>
          <t>User</t>
        </is>
      </c>
      <c r="H41" s="7" t="inlineStr">
        <is>
          <t>Identification</t>
        </is>
      </c>
      <c r="I41" s="7" t="n">
        <v>8</v>
      </c>
      <c r="J41" s="7" t="inlineStr">
        <is>
          <t>6(1)(i), 6(1)(ii), 34(a), 34(b), 34(c)(i), 34(c)(ii), 34(d)(i), 34(d)(ii)</t>
        </is>
      </c>
    </row>
    <row r="42">
      <c r="A42" s="10" t="inlineStr">
        <is>
          <t>LON-04</t>
        </is>
      </c>
      <c r="B42" s="7" t="inlineStr">
        <is>
          <t>Loan / Security</t>
        </is>
      </c>
      <c r="C42" s="7" t="inlineStr">
        <is>
          <t>Possession given to mortgagee</t>
        </is>
      </c>
      <c r="D42" s="7" t="inlineStr">
        <is>
          <t>Is possession of the property (or part) given or agreed to be given to the mortgagee? (POA to collect rents or lease to mortgagee is deemed possession)</t>
        </is>
      </c>
      <c r="E42" s="7" t="inlineStr">
        <is>
          <t>Yes/No</t>
        </is>
      </c>
      <c r="F42" s="7" t="inlineStr">
        <is>
          <t>Yes / No</t>
        </is>
      </c>
      <c r="G42" s="7" t="inlineStr">
        <is>
          <t>User</t>
        </is>
      </c>
      <c r="H42" s="7" t="inlineStr">
        <is>
          <t>Identification</t>
        </is>
      </c>
      <c r="I42" s="7" t="n">
        <v>3</v>
      </c>
      <c r="J42" s="7" t="inlineStr">
        <is>
          <t>5(h), 34(a), 34(b)</t>
        </is>
      </c>
    </row>
    <row r="43">
      <c r="A43" s="10" t="inlineStr">
        <is>
          <t>LON-05</t>
        </is>
      </c>
      <c r="B43" s="7" t="inlineStr">
        <is>
          <t>Loan / Security</t>
        </is>
      </c>
      <c r="C43" s="7" t="inlineStr">
        <is>
          <t>Primary security duly stamped</t>
        </is>
      </c>
      <c r="D43" s="7" t="inlineStr">
        <is>
          <t>Is the principal / primary security already duly stamped? (Doc ref)</t>
        </is>
      </c>
      <c r="E43" s="7" t="inlineStr">
        <is>
          <t>Yes/No + Doc ref</t>
        </is>
      </c>
      <c r="F43" s="7" t="inlineStr">
        <is>
          <t>Yes / No</t>
        </is>
      </c>
      <c r="G43" s="7" t="inlineStr">
        <is>
          <t>User / System</t>
        </is>
      </c>
      <c r="H43" s="7" t="inlineStr">
        <is>
          <t>Identification</t>
        </is>
      </c>
      <c r="I43" s="7" t="n">
        <v>2</v>
      </c>
      <c r="J43" s="7" t="inlineStr">
        <is>
          <t>34(c)(i), 34(c)(ii)</t>
        </is>
      </c>
    </row>
    <row r="44">
      <c r="A44" s="10" t="inlineStr">
        <is>
          <t>LON-06</t>
        </is>
      </c>
      <c r="B44" s="7" t="inlineStr">
        <is>
          <t>Loan / Security</t>
        </is>
      </c>
      <c r="C44" s="7" t="inlineStr">
        <is>
          <t>Type of original mortgage (further charge)</t>
        </is>
      </c>
      <c r="D44" s="7" t="inlineStr">
        <is>
          <t>Type of the original mortgage on which further charge is created</t>
        </is>
      </c>
      <c r="E44" s="7" t="inlineStr">
        <is>
          <t>Dropdown</t>
        </is>
      </c>
      <c r="F44" s="7" t="inlineStr">
        <is>
          <t>With possession [34(a)], Without possession [34(b)]</t>
        </is>
      </c>
      <c r="G44" s="7" t="inlineStr">
        <is>
          <t>User / System</t>
        </is>
      </c>
      <c r="H44" s="7" t="inlineStr">
        <is>
          <t>Identification</t>
        </is>
      </c>
      <c r="I44" s="7" t="n">
        <v>4</v>
      </c>
      <c r="J44" s="7" t="inlineStr">
        <is>
          <t>27(a), 27(b)(i), 27(b)(ii), 27(b)(iii)</t>
        </is>
      </c>
    </row>
    <row r="45">
      <c r="A45" s="10" t="inlineStr">
        <is>
          <t>LON-07</t>
        </is>
      </c>
      <c r="B45" s="7" t="inlineStr">
        <is>
          <t>Loan / Security</t>
        </is>
      </c>
      <c r="C45" s="7" t="inlineStr">
        <is>
          <t>Possession given under further charge / hypothecation</t>
        </is>
      </c>
      <c r="D45" s="7" t="inlineStr">
        <is>
          <t>Under the further charge instrument: is possession given / agreed to be given, or is it a hypothecation?</t>
        </is>
      </c>
      <c r="E45" s="7" t="inlineStr">
        <is>
          <t>Dropdown</t>
        </is>
      </c>
      <c r="F45" s="7" t="inlineStr">
        <is>
          <t>Possession given, Possession not given (not hypothecation), Hypothecation</t>
        </is>
      </c>
      <c r="G45" s="7" t="inlineStr">
        <is>
          <t>User</t>
        </is>
      </c>
      <c r="H45" s="7" t="inlineStr">
        <is>
          <t>Identification</t>
        </is>
      </c>
      <c r="I45" s="7" t="n">
        <v>3</v>
      </c>
      <c r="J45" s="7" t="inlineStr">
        <is>
          <t>27(b)(i), 27(b)(ii), 27(b)(iii)</t>
        </is>
      </c>
    </row>
    <row r="46">
      <c r="A46" s="10" t="inlineStr">
        <is>
          <t>LON-08</t>
        </is>
      </c>
      <c r="B46" s="7" t="inlineStr">
        <is>
          <t>Loan / Security</t>
        </is>
      </c>
      <c r="C46" s="7" t="inlineStr">
        <is>
          <t>Total charge and duty already paid</t>
        </is>
      </c>
      <c r="D46" s="7" t="inlineStr">
        <is>
          <t>Total amount of charge (original mortgage + earlier further charges) and duty already paid on them</t>
        </is>
      </c>
      <c r="E46" s="7" t="inlineStr">
        <is>
          <t>Amount x 2</t>
        </is>
      </c>
      <c r="F46" s="7" t="inlineStr">
        <is>
          <t>&gt;= 0</t>
        </is>
      </c>
      <c r="G46" s="7" t="inlineStr">
        <is>
          <t>User / System</t>
        </is>
      </c>
      <c r="H46" s="7" t="inlineStr">
        <is>
          <t>Calculation</t>
        </is>
      </c>
      <c r="I46" s="7" t="n">
        <v>1</v>
      </c>
      <c r="J46" s="7" t="inlineStr">
        <is>
          <t>27(b)(i)</t>
        </is>
      </c>
    </row>
    <row r="47">
      <c r="A47" s="10" t="inlineStr">
        <is>
          <t>LON-09</t>
        </is>
      </c>
      <c r="B47" s="7" t="inlineStr">
        <is>
          <t>Loan / Security</t>
        </is>
      </c>
      <c r="C47" s="7" t="inlineStr">
        <is>
          <t>Loan under KLIL Act / KAL Act 1963</t>
        </is>
      </c>
      <c r="D47" s="7" t="inlineStr">
        <is>
          <t>Is the advance taken under Karnataka Land Improvement Loans Act 1963 / Karnataka Agriculturists' Loans Act 1963?</t>
        </is>
      </c>
      <c r="E47" s="7" t="inlineStr">
        <is>
          <t>Yes/No</t>
        </is>
      </c>
      <c r="F47" s="7" t="inlineStr">
        <is>
          <t>Yes / No</t>
        </is>
      </c>
      <c r="G47" s="7" t="inlineStr">
        <is>
          <t>User</t>
        </is>
      </c>
      <c r="H47" s="7" t="inlineStr">
        <is>
          <t>Exemption / Adjustment</t>
        </is>
      </c>
      <c r="I47" s="7" t="n">
        <v>2</v>
      </c>
      <c r="J47" s="7" t="inlineStr">
        <is>
          <t>34(a), 34(b)</t>
        </is>
      </c>
    </row>
    <row r="48">
      <c r="A48" s="10" t="inlineStr">
        <is>
          <t>LON-10</t>
        </is>
      </c>
      <c r="B48" s="7" t="inlineStr">
        <is>
          <t>Loan / Security</t>
        </is>
      </c>
      <c r="C48" s="7" t="inlineStr">
        <is>
          <t>Repayment period (months)</t>
        </is>
      </c>
      <c r="D48" s="7" t="inlineStr">
        <is>
          <t>Period within which the loan is repayable from the date of instrument (months)</t>
        </is>
      </c>
      <c r="E48" s="7" t="inlineStr">
        <is>
          <t>Number</t>
        </is>
      </c>
      <c r="F48" s="7" t="inlineStr">
        <is>
          <t>&gt; 0</t>
        </is>
      </c>
      <c r="G48" s="7" t="inlineStr">
        <is>
          <t>User</t>
        </is>
      </c>
      <c r="H48" s="7" t="inlineStr">
        <is>
          <t>Identification</t>
        </is>
      </c>
      <c r="I48" s="7" t="n">
        <v>2</v>
      </c>
      <c r="J48" s="7" t="inlineStr">
        <is>
          <t>35(a), 35(b)</t>
        </is>
      </c>
    </row>
    <row r="49">
      <c r="A49" s="10" t="inlineStr">
        <is>
          <t>LON-11</t>
        </is>
      </c>
      <c r="B49" s="7" t="inlineStr">
        <is>
          <t>Loan / Security</t>
        </is>
      </c>
      <c r="C49" s="7" t="inlineStr">
        <is>
          <t>Fresh pawn / pledge for same loan</t>
        </is>
      </c>
      <c r="D49" s="7" t="inlineStr">
        <is>
          <t>Is this a fresh pawn / pledge instrument for money already advanced between the same parties, same purpose and same amount, with duty paid on the earlier instrument?</t>
        </is>
      </c>
      <c r="E49" s="7" t="inlineStr">
        <is>
          <t>Yes/No</t>
        </is>
      </c>
      <c r="F49" s="7" t="inlineStr">
        <is>
          <t>Yes / No</t>
        </is>
      </c>
      <c r="G49" s="7" t="inlineStr">
        <is>
          <t>User</t>
        </is>
      </c>
      <c r="H49" s="7" t="inlineStr">
        <is>
          <t>Exemption / Adjustment</t>
        </is>
      </c>
      <c r="I49" s="7" t="n">
        <v>2</v>
      </c>
      <c r="J49" s="7" t="inlineStr">
        <is>
          <t>6(2)(i), 6(2)(ii)</t>
        </is>
      </c>
    </row>
    <row r="50">
      <c r="A50" s="10" t="inlineStr">
        <is>
          <t>LON-12</t>
        </is>
      </c>
      <c r="B50" s="7" t="inlineStr">
        <is>
          <t>Loan / Security</t>
        </is>
      </c>
      <c r="C50" s="7" t="inlineStr">
        <is>
          <t>Letter of hypothecation accompanying bill of exchange</t>
        </is>
      </c>
      <c r="D50" s="7" t="inlineStr">
        <is>
          <t>Is this a letter of hypothecation accompanying a bill of exchange? (exempt)</t>
        </is>
      </c>
      <c r="E50" s="7" t="inlineStr">
        <is>
          <t>Yes/No</t>
        </is>
      </c>
      <c r="F50" s="7" t="inlineStr">
        <is>
          <t>Yes / No</t>
        </is>
      </c>
      <c r="G50" s="7" t="inlineStr">
        <is>
          <t>User</t>
        </is>
      </c>
      <c r="H50" s="7" t="inlineStr">
        <is>
          <t>Exemption / Adjustment</t>
        </is>
      </c>
      <c r="I50" s="7" t="n">
        <v>2</v>
      </c>
      <c r="J50" s="7" t="inlineStr">
        <is>
          <t>34(d)(i), 34(d)(ii)</t>
        </is>
      </c>
    </row>
    <row r="51">
      <c r="A51" s="10" t="inlineStr">
        <is>
          <t>LON-13</t>
        </is>
      </c>
      <c r="B51" s="7" t="inlineStr">
        <is>
          <t>Loan / Security</t>
        </is>
      </c>
      <c r="C51" s="7" t="inlineStr">
        <is>
          <t>Pawn / pledge of goods or jewels</t>
        </is>
      </c>
      <c r="D51" s="7" t="inlineStr">
        <is>
          <t>Is the pawn / pledge of goods or jewels? (exempt if loan up to Rs. 1 lakh)</t>
        </is>
      </c>
      <c r="E51" s="7" t="inlineStr">
        <is>
          <t>Yes/No</t>
        </is>
      </c>
      <c r="F51" s="7" t="inlineStr">
        <is>
          <t>Yes / No</t>
        </is>
      </c>
      <c r="G51" s="7" t="inlineStr">
        <is>
          <t>User</t>
        </is>
      </c>
      <c r="H51" s="7" t="inlineStr">
        <is>
          <t>Exemption / Adjustment</t>
        </is>
      </c>
      <c r="I51" s="7" t="n">
        <v>3</v>
      </c>
      <c r="J51" s="7" t="inlineStr">
        <is>
          <t>6(2)-Exempt, 6(2)(i), 6(2)(ii)</t>
        </is>
      </c>
    </row>
    <row r="52">
      <c r="A52" s="10" t="inlineStr">
        <is>
          <t>LON-14</t>
        </is>
      </c>
      <c r="B52" s="7" t="inlineStr">
        <is>
          <t>Loan / Security</t>
        </is>
      </c>
      <c r="C52" s="7" t="inlineStr">
        <is>
          <t>Original mortgage consideration (reconveyance)</t>
        </is>
      </c>
      <c r="D52" s="7" t="inlineStr">
        <is>
          <t>Consideration for which the property was originally mortgaged (Rs.)</t>
        </is>
      </c>
      <c r="E52" s="7" t="inlineStr">
        <is>
          <t>Amount</t>
        </is>
      </c>
      <c r="F52" s="7" t="inlineStr">
        <is>
          <t>&gt;= 0</t>
        </is>
      </c>
      <c r="G52" s="7" t="inlineStr">
        <is>
          <t>User / System</t>
        </is>
      </c>
      <c r="H52" s="7" t="inlineStr">
        <is>
          <t>Identification</t>
        </is>
      </c>
      <c r="I52" s="7" t="n">
        <v>2</v>
      </c>
      <c r="J52" s="7" t="inlineStr">
        <is>
          <t>44(a), 44(b)</t>
        </is>
      </c>
    </row>
    <row r="53">
      <c r="A53" s="8" t="inlineStr">
        <is>
          <t>LSE-01</t>
        </is>
      </c>
      <c r="B53" s="9" t="inlineStr">
        <is>
          <t>Lease / Licence</t>
        </is>
      </c>
      <c r="C53" s="9" t="inlineStr">
        <is>
          <t>Type of lease</t>
        </is>
      </c>
      <c r="D53" s="7" t="inlineStr">
        <is>
          <t>Type of lease instrument</t>
        </is>
      </c>
      <c r="E53" s="7" t="inlineStr">
        <is>
          <t>Dropdown</t>
        </is>
      </c>
      <c r="F53" s="7" t="inlineStr">
        <is>
          <t>Lease / Sub-lease / Under-lease / Agreement to let, Mine Development &amp; Production Agreement (MDPA) / Mining lease</t>
        </is>
      </c>
      <c r="G53" s="7" t="inlineStr">
        <is>
          <t>User</t>
        </is>
      </c>
      <c r="H53" s="7" t="inlineStr">
        <is>
          <t>Identification</t>
        </is>
      </c>
      <c r="I53" s="7" t="n">
        <v>14</v>
      </c>
      <c r="J53" s="7" t="inlineStr">
        <is>
          <t>30(1)(i), 30(1)(ii), 30(1)(iii), 30(1)(iv), 30(1)(v), 30(1)(vi), 30(3)(a)(i), 30(3)(a)(ii), 30(3)(a)(iii), 30(3)(a)(iv), 30(3)(b)(i), 30(3)(b)(ii), 30(3)(b)(iii), 30(3)(b)(iv)</t>
        </is>
      </c>
    </row>
    <row r="54">
      <c r="A54" s="10" t="inlineStr">
        <is>
          <t>LSE-02</t>
        </is>
      </c>
      <c r="B54" s="7" t="inlineStr">
        <is>
          <t>Lease / Licence</t>
        </is>
      </c>
      <c r="C54" s="7" t="inlineStr">
        <is>
          <t>Term of lease / licence</t>
        </is>
      </c>
      <c r="D54" s="7" t="inlineStr">
        <is>
          <t>Term of the lease / licence in years and months, or Perpetual / Indefinite</t>
        </is>
      </c>
      <c r="E54" s="7" t="inlineStr">
        <is>
          <t>Number + flag</t>
        </is>
      </c>
      <c r="F54" s="7" t="inlineStr">
        <is>
          <t>Years (decimal) / Perpetual / No definite term</t>
        </is>
      </c>
      <c r="G54" s="7" t="inlineStr">
        <is>
          <t>User</t>
        </is>
      </c>
      <c r="H54" s="7" t="inlineStr">
        <is>
          <t>Identification</t>
        </is>
      </c>
      <c r="I54" s="7" t="n">
        <v>22</v>
      </c>
      <c r="J54" s="7" t="inlineStr">
        <is>
          <t>30(1)(i), 30(1)(ii), 30(1)(iii), 30(1)(iv), 30(1)(v), 30(1)(vi), 30(2)(a)(i), 30(2)(a)(ii), 30(2)(c), 30(3)(a)(i), 30(3)(a)(ii), 30(3)(a)(iii), 30(3)(a)(iv), 30(3)(b)(i), 30(3)(b)(ii), 30(3)(b)(iii), 30(3)(b)(iv), 32-A(i), 32-A(ii), 32-A(iii), 32-A(iv), 32-A(v)</t>
        </is>
      </c>
    </row>
    <row r="55">
      <c r="A55" s="10" t="inlineStr">
        <is>
          <t>LSE-03</t>
        </is>
      </c>
      <c r="B55" s="7" t="inlineStr">
        <is>
          <t>Lease / Licence</t>
        </is>
      </c>
      <c r="C55" s="7" t="inlineStr">
        <is>
          <t>Rent schedule / average annual rent</t>
        </is>
      </c>
      <c r="D55" s="7" t="inlineStr">
        <is>
          <t>Rent per month for each year of the term (system derives average annual rent)</t>
        </is>
      </c>
      <c r="E55" s="7" t="inlineStr">
        <is>
          <t>Grid -&gt; Amount</t>
        </is>
      </c>
      <c r="F55" s="7" t="inlineStr">
        <is>
          <t>&gt;= 0</t>
        </is>
      </c>
      <c r="G55" s="7" t="inlineStr">
        <is>
          <t>User + System</t>
        </is>
      </c>
      <c r="H55" s="7" t="inlineStr">
        <is>
          <t>Calculation</t>
        </is>
      </c>
      <c r="I55" s="7" t="n">
        <v>14</v>
      </c>
      <c r="J55" s="7" t="inlineStr">
        <is>
          <t>30(1)(i), 30(1)(ii), 30(1)(iii), 30(1)(iv), 30(1)(v), 30(1)(vi), 30(2)(a)(i), 30(2)(a)(ii), 30(2)(c), 32-A(i), 32-A(ii), 32-A(iii), 32-A(iv), 32-A(v)</t>
        </is>
      </c>
    </row>
    <row r="56">
      <c r="A56" s="10" t="inlineStr">
        <is>
          <t>LSE-04</t>
        </is>
      </c>
      <c r="B56" s="7" t="inlineStr">
        <is>
          <t>Lease / Licence</t>
        </is>
      </c>
      <c r="C56" s="7" t="inlineStr">
        <is>
          <t>Premium / fine</t>
        </is>
      </c>
      <c r="D56" s="7" t="inlineStr">
        <is>
          <t>Premium or fine paid (Rs.)</t>
        </is>
      </c>
      <c r="E56" s="7" t="inlineStr">
        <is>
          <t>Amount</t>
        </is>
      </c>
      <c r="F56" s="7" t="inlineStr">
        <is>
          <t>&gt;= 0</t>
        </is>
      </c>
      <c r="G56" s="7" t="inlineStr">
        <is>
          <t>User</t>
        </is>
      </c>
      <c r="H56" s="7" t="inlineStr">
        <is>
          <t>Calculation</t>
        </is>
      </c>
      <c r="I56" s="7" t="n">
        <v>13</v>
      </c>
      <c r="J56" s="7" t="inlineStr">
        <is>
          <t>30(1)(i), 30(1)(ii), 30(1)(iii), 30(1)(iv), 30(1)(v), 30(1)(vi), 30(2)(b), 30(2)(c), 32-A(i), 32-A(ii), 32-A(iii), 32-A(iv), 32-A(v)</t>
        </is>
      </c>
    </row>
    <row r="57">
      <c r="A57" s="10" t="inlineStr">
        <is>
          <t>LSE-05</t>
        </is>
      </c>
      <c r="B57" s="7" t="inlineStr">
        <is>
          <t>Lease / Licence</t>
        </is>
      </c>
      <c r="C57" s="7" t="inlineStr">
        <is>
          <t>Money advanced / security deposit</t>
        </is>
      </c>
      <c r="D57" s="7" t="inlineStr">
        <is>
          <t>Money advanced / security deposit, whether refundable or adjustable towards rent (Rs.)</t>
        </is>
      </c>
      <c r="E57" s="7" t="inlineStr">
        <is>
          <t>Amount</t>
        </is>
      </c>
      <c r="F57" s="7" t="inlineStr">
        <is>
          <t>&gt;= 0</t>
        </is>
      </c>
      <c r="G57" s="7" t="inlineStr">
        <is>
          <t>User</t>
        </is>
      </c>
      <c r="H57" s="7" t="inlineStr">
        <is>
          <t>Calculation</t>
        </is>
      </c>
      <c r="I57" s="7" t="n">
        <v>13</v>
      </c>
      <c r="J57" s="7" t="inlineStr">
        <is>
          <t>30(1)(i), 30(1)(ii), 30(1)(iii), 30(1)(iv), 30(1)(v), 30(1)(vi), 30(2)(b), 30(2)(c), 32-A(i), 32-A(ii), 32-A(iii), 32-A(iv), 32-A(v)</t>
        </is>
      </c>
    </row>
    <row r="58">
      <c r="A58" s="10" t="inlineStr">
        <is>
          <t>LSE-06</t>
        </is>
      </c>
      <c r="B58" s="7" t="inlineStr">
        <is>
          <t>Lease / Licence</t>
        </is>
      </c>
      <c r="C58" s="7" t="inlineStr">
        <is>
          <t>Agreement to lease already stamped ad valorem</t>
        </is>
      </c>
      <c r="D58" s="7" t="inlineStr">
        <is>
          <t>Was an agreement to lease for the same lease already stamped with ad valorem duty required for a lease?</t>
        </is>
      </c>
      <c r="E58" s="7" t="inlineStr">
        <is>
          <t>Yes/No + Doc ref</t>
        </is>
      </c>
      <c r="F58" s="7" t="inlineStr">
        <is>
          <t>Yes / No</t>
        </is>
      </c>
      <c r="G58" s="7" t="inlineStr">
        <is>
          <t>User / System</t>
        </is>
      </c>
      <c r="H58" s="7" t="inlineStr">
        <is>
          <t>Exemption / Adjustment</t>
        </is>
      </c>
      <c r="I58" s="7" t="n">
        <v>10</v>
      </c>
      <c r="J58" s="7" t="inlineStr">
        <is>
          <t>30(1)(i), 30(1)(ii), 30(1)(iii), 30(1)(iv), 30(1)(v), 30(1)(vi), 30(2)(a)(i), 30(2)(a)(ii), 30(2)(b), 30(2)(c)</t>
        </is>
      </c>
    </row>
    <row r="59">
      <c r="A59" s="10" t="inlineStr">
        <is>
          <t>LSE-07</t>
        </is>
      </c>
      <c r="B59" s="7" t="inlineStr">
        <is>
          <t>Lease / Licence</t>
        </is>
      </c>
      <c r="C59" s="7" t="inlineStr">
        <is>
          <t>Movable lease structure</t>
        </is>
      </c>
      <c r="D59" s="7" t="inlineStr">
        <is>
          <t>For lease of movable property: how is the consideration structured?</t>
        </is>
      </c>
      <c r="E59" s="7" t="inlineStr">
        <is>
          <t>Dropdown</t>
        </is>
      </c>
      <c r="F59" s="7" t="inlineStr">
        <is>
          <t>Rent fixed - no premium, Premium / fine / advance only - no rent, Premium / advance in addition to rent</t>
        </is>
      </c>
      <c r="G59" s="7" t="inlineStr">
        <is>
          <t>User</t>
        </is>
      </c>
      <c r="H59" s="7" t="inlineStr">
        <is>
          <t>Identification</t>
        </is>
      </c>
      <c r="I59" s="7" t="n">
        <v>4</v>
      </c>
      <c r="J59" s="7" t="inlineStr">
        <is>
          <t>30(2)(a)(i), 30(2)(a)(ii), 30(2)(b), 30(2)(c)</t>
        </is>
      </c>
    </row>
    <row r="60">
      <c r="A60" s="10" t="inlineStr">
        <is>
          <t>LSE-08</t>
        </is>
      </c>
      <c r="B60" s="7" t="inlineStr">
        <is>
          <t>Lease / Licence</t>
        </is>
      </c>
      <c r="C60" s="7" t="inlineStr">
        <is>
          <t>Lease of industrial machinery</t>
        </is>
      </c>
      <c r="D60" s="7" t="inlineStr">
        <is>
          <t>Is the movable property leased industrial machinery? (max duty Rs.10,000)</t>
        </is>
      </c>
      <c r="E60" s="7" t="inlineStr">
        <is>
          <t>Yes/No</t>
        </is>
      </c>
      <c r="F60" s="7" t="inlineStr">
        <is>
          <t>Yes / No</t>
        </is>
      </c>
      <c r="G60" s="7" t="inlineStr">
        <is>
          <t>User</t>
        </is>
      </c>
      <c r="H60" s="7" t="inlineStr">
        <is>
          <t>Calculation</t>
        </is>
      </c>
      <c r="I60" s="7" t="n">
        <v>4</v>
      </c>
      <c r="J60" s="7" t="inlineStr">
        <is>
          <t>30(2)(a)(i), 30(2)(a)(ii), 30(2)(b), 30(2)(c)</t>
        </is>
      </c>
    </row>
    <row r="61">
      <c r="A61" s="10" t="inlineStr">
        <is>
          <t>LSE-09</t>
        </is>
      </c>
      <c r="B61" s="7" t="inlineStr">
        <is>
          <t>Lease / Licence</t>
        </is>
      </c>
      <c r="C61" s="7" t="inlineStr">
        <is>
          <t>Mining lease granted through auction</t>
        </is>
      </c>
      <c r="D61" s="7" t="inlineStr">
        <is>
          <t>Is the MDPA / mining lease granted through auction?</t>
        </is>
      </c>
      <c r="E61" s="7" t="inlineStr">
        <is>
          <t>Yes/No</t>
        </is>
      </c>
      <c r="F61" s="7" t="inlineStr">
        <is>
          <t>Yes / No</t>
        </is>
      </c>
      <c r="G61" s="7" t="inlineStr">
        <is>
          <t>User</t>
        </is>
      </c>
      <c r="H61" s="7" t="inlineStr">
        <is>
          <t>Identification</t>
        </is>
      </c>
      <c r="I61" s="7" t="n">
        <v>8</v>
      </c>
      <c r="J61" s="7" t="inlineStr">
        <is>
          <t>30(3)(a)(i), 30(3)(a)(ii), 30(3)(a)(iii), 30(3)(a)(iv), 30(3)(b)(i), 30(3)(b)(ii), 30(3)(b)(iii), 30(3)(b)(iv)</t>
        </is>
      </c>
    </row>
    <row r="62">
      <c r="A62" s="10" t="inlineStr">
        <is>
          <t>LSE-10</t>
        </is>
      </c>
      <c r="B62" s="7" t="inlineStr">
        <is>
          <t>Lease / Licence</t>
        </is>
      </c>
      <c r="C62" s="7" t="inlineStr">
        <is>
          <t>Mining values</t>
        </is>
      </c>
      <c r="D62" s="7" t="inlineStr">
        <is>
          <t>Average annual royalty; average annual payment (final price offer / share of value of mineral) on estimated average annual production per approved mining plan; premium; money advanced; security deposit incl. performance guarantee; fine; value of estimated resources</t>
        </is>
      </c>
      <c r="E62" s="7" t="inlineStr">
        <is>
          <t>Amounts</t>
        </is>
      </c>
      <c r="F62" s="7" t="inlineStr">
        <is>
          <t>&gt;= 0</t>
        </is>
      </c>
      <c r="G62" s="7" t="inlineStr">
        <is>
          <t>User</t>
        </is>
      </c>
      <c r="H62" s="7" t="inlineStr">
        <is>
          <t>Calculation</t>
        </is>
      </c>
      <c r="I62" s="7" t="n">
        <v>8</v>
      </c>
      <c r="J62" s="7" t="inlineStr">
        <is>
          <t>30(3)(a)(i), 30(3)(a)(ii), 30(3)(a)(iii), 30(3)(a)(iv), 30(3)(b)(i), 30(3)(b)(ii), 30(3)(b)(iii), 30(3)(b)(iv)</t>
        </is>
      </c>
    </row>
    <row r="63">
      <c r="A63" s="10" t="inlineStr">
        <is>
          <t>LSE-11</t>
        </is>
      </c>
      <c r="B63" s="7" t="inlineStr">
        <is>
          <t>Lease / Licence</t>
        </is>
      </c>
      <c r="C63" s="7" t="inlineStr">
        <is>
          <t>MDPA already stamped incl. mining lease duty</t>
        </is>
      </c>
      <c r="D63" s="7" t="inlineStr">
        <is>
          <t>Was the MDPA already stamped with ad valorem duty for MDPA and mining lease? (caps lease at Rs.50)</t>
        </is>
      </c>
      <c r="E63" s="7" t="inlineStr">
        <is>
          <t>Yes/No + Doc ref</t>
        </is>
      </c>
      <c r="F63" s="7" t="inlineStr">
        <is>
          <t>Yes / No</t>
        </is>
      </c>
      <c r="G63" s="7" t="inlineStr">
        <is>
          <t>User / System</t>
        </is>
      </c>
      <c r="H63" s="7" t="inlineStr">
        <is>
          <t>Exemption / Adjustment</t>
        </is>
      </c>
      <c r="I63" s="7" t="n">
        <v>8</v>
      </c>
      <c r="J63" s="7" t="inlineStr">
        <is>
          <t>30(3)(a)(i), 30(3)(a)(ii), 30(3)(a)(iii), 30(3)(a)(iv), 30(3)(b)(i), 30(3)(b)(ii), 30(3)(b)(iii), 30(3)(b)(iv)</t>
        </is>
      </c>
    </row>
    <row r="64">
      <c r="A64" s="10" t="inlineStr">
        <is>
          <t>LSE-12</t>
        </is>
      </c>
      <c r="B64" s="7" t="inlineStr">
        <is>
          <t>Lease / Licence</t>
        </is>
      </c>
      <c r="C64" s="7" t="inlineStr">
        <is>
          <t>Remaining period of lease (transfer)</t>
        </is>
      </c>
      <c r="D64" s="7" t="inlineStr">
        <is>
          <t>Remaining period of the lease being assigned (years)</t>
        </is>
      </c>
      <c r="E64" s="7" t="inlineStr">
        <is>
          <t>Number</t>
        </is>
      </c>
      <c r="F64" s="7" t="inlineStr">
        <is>
          <t>&gt;= 0</t>
        </is>
      </c>
      <c r="G64" s="7" t="inlineStr">
        <is>
          <t>User</t>
        </is>
      </c>
      <c r="H64" s="7" t="inlineStr">
        <is>
          <t>Identification</t>
        </is>
      </c>
      <c r="I64" s="7" t="n">
        <v>2</v>
      </c>
      <c r="J64" s="7" t="inlineStr">
        <is>
          <t>53(a), 53(b)</t>
        </is>
      </c>
    </row>
    <row r="65">
      <c r="A65" s="10" t="inlineStr">
        <is>
          <t>LSE-13</t>
        </is>
      </c>
      <c r="B65" s="7" t="inlineStr">
        <is>
          <t>Lease / Licence</t>
        </is>
      </c>
      <c r="C65" s="7" t="inlineStr">
        <is>
          <t>Duty chargeable on original lease (surrender)</t>
        </is>
      </c>
      <c r="D65" s="7" t="inlineStr">
        <is>
          <t>Duty with which the lease being surrendered is chargeable (Rs.); whether that lease was exempt</t>
        </is>
      </c>
      <c r="E65" s="7" t="inlineStr">
        <is>
          <t>Amount + Yes/No</t>
        </is>
      </c>
      <c r="F65" s="7" t="inlineStr">
        <is>
          <t>&gt;= 0</t>
        </is>
      </c>
      <c r="G65" s="7" t="inlineStr">
        <is>
          <t>User / System</t>
        </is>
      </c>
      <c r="H65" s="7" t="inlineStr">
        <is>
          <t>Identification</t>
        </is>
      </c>
      <c r="I65" s="7" t="n">
        <v>2</v>
      </c>
      <c r="J65" s="7" t="inlineStr">
        <is>
          <t>51(a), 51(b)</t>
        </is>
      </c>
    </row>
    <row r="66">
      <c r="A66" s="8" t="inlineStr">
        <is>
          <t>POA-01</t>
        </is>
      </c>
      <c r="B66" s="9" t="inlineStr">
        <is>
          <t>Power of Attorney</t>
        </is>
      </c>
      <c r="C66" s="9" t="inlineStr">
        <is>
          <t>Purpose of POA</t>
        </is>
      </c>
      <c r="D66" s="7" t="inlineStr">
        <is>
          <t>What is the Power of Attorney given for?</t>
        </is>
      </c>
      <c r="E66" s="7" t="inlineStr">
        <is>
          <t>Dropdown</t>
        </is>
      </c>
      <c r="F66" s="7" t="inlineStr">
        <is>
          <t>See Lookup_Lists: POA Purpose (PP-01..PP-09)</t>
        </is>
      </c>
      <c r="G66" s="7" t="inlineStr">
        <is>
          <t>User</t>
        </is>
      </c>
      <c r="H66" s="7" t="inlineStr">
        <is>
          <t>Identification</t>
        </is>
      </c>
      <c r="I66" s="7" t="n">
        <v>11</v>
      </c>
      <c r="J66" s="7" t="inlineStr">
        <is>
          <t>41(a), 41(b), 41(c), 41(d), 41(e), 41(ea), 41(eb), 41(ec), 41(f), 41(g), 41(h)</t>
        </is>
      </c>
    </row>
    <row r="67">
      <c r="A67" s="10" t="inlineStr">
        <is>
          <t>POA-02</t>
        </is>
      </c>
      <c r="B67" s="7" t="inlineStr">
        <is>
          <t>Power of Attorney</t>
        </is>
      </c>
      <c r="C67" s="7" t="inlineStr">
        <is>
          <t>Number of attorneys</t>
        </is>
      </c>
      <c r="D67" s="7" t="inlineStr">
        <is>
          <t>Number of persons authorised to act jointly and severally (persons of the same firm count as one)</t>
        </is>
      </c>
      <c r="E67" s="7" t="inlineStr">
        <is>
          <t>Number</t>
        </is>
      </c>
      <c r="F67" s="7" t="inlineStr">
        <is>
          <t>&gt;= 1</t>
        </is>
      </c>
      <c r="G67" s="7" t="inlineStr">
        <is>
          <t>User</t>
        </is>
      </c>
      <c r="H67" s="7" t="inlineStr">
        <is>
          <t>Identification</t>
        </is>
      </c>
      <c r="I67" s="7" t="n">
        <v>3</v>
      </c>
      <c r="J67" s="7" t="inlineStr">
        <is>
          <t>41(c), 41(d), 41(h)</t>
        </is>
      </c>
    </row>
    <row r="68">
      <c r="A68" s="10" t="inlineStr">
        <is>
          <t>POA-03</t>
        </is>
      </c>
      <c r="B68" s="7" t="inlineStr">
        <is>
          <t>Power of Attorney</t>
        </is>
      </c>
      <c r="C68" s="7" t="inlineStr">
        <is>
          <t>Given for consideration / coupled with interest</t>
        </is>
      </c>
      <c r="D68" s="7" t="inlineStr">
        <is>
          <t>Is the POA given for consideration, or coupled with interest, authorising the attorney to sell?</t>
        </is>
      </c>
      <c r="E68" s="7" t="inlineStr">
        <is>
          <t>Yes/No</t>
        </is>
      </c>
      <c r="F68" s="7" t="inlineStr">
        <is>
          <t>Yes / No</t>
        </is>
      </c>
      <c r="G68" s="7" t="inlineStr">
        <is>
          <t>User</t>
        </is>
      </c>
      <c r="H68" s="7" t="inlineStr">
        <is>
          <t>Identification</t>
        </is>
      </c>
      <c r="I68" s="7" t="n">
        <v>3</v>
      </c>
      <c r="J68" s="7" t="inlineStr">
        <is>
          <t>41(b), 41(e), 41(eb)</t>
        </is>
      </c>
    </row>
    <row r="69">
      <c r="A69" s="10" t="inlineStr">
        <is>
          <t>POA-04</t>
        </is>
      </c>
      <c r="B69" s="7" t="inlineStr">
        <is>
          <t>Power of Attorney</t>
        </is>
      </c>
      <c r="C69" s="7" t="inlineStr">
        <is>
          <t>Duty paid on related agreement / sale</t>
        </is>
      </c>
      <c r="D69" s="7" t="inlineStr">
        <is>
          <t>Duty already paid on Agreement for sale 5(e) / 5(f) or sale instrument between same parties for same property (for adjustment / cap)</t>
        </is>
      </c>
      <c r="E69" s="7" t="inlineStr">
        <is>
          <t>Yes/No + Doc ref + Amount</t>
        </is>
      </c>
      <c r="F69" s="7" t="inlineStr">
        <is>
          <t>Yes / No</t>
        </is>
      </c>
      <c r="G69" s="7" t="inlineStr">
        <is>
          <t>User / System</t>
        </is>
      </c>
      <c r="H69" s="7" t="inlineStr">
        <is>
          <t>Exemption / Adjustment</t>
        </is>
      </c>
      <c r="I69" s="7" t="n">
        <v>5</v>
      </c>
      <c r="J69" s="7" t="inlineStr">
        <is>
          <t>5(e)(i), 20(7), 41(e), 41(ea), 41(eb)</t>
        </is>
      </c>
    </row>
    <row r="70">
      <c r="A70" s="8" t="inlineStr">
        <is>
          <t>PRT-01</t>
        </is>
      </c>
      <c r="B70" s="9" t="inlineStr">
        <is>
          <t>Partition</t>
        </is>
      </c>
      <c r="C70" s="9" t="inlineStr">
        <is>
          <t>Number of shares</t>
        </is>
      </c>
      <c r="D70" s="7" t="inlineStr">
        <is>
          <t>Number of separate shares into which the property is divided</t>
        </is>
      </c>
      <c r="E70" s="7" t="inlineStr">
        <is>
          <t>Number</t>
        </is>
      </c>
      <c r="F70" s="7" t="inlineStr">
        <is>
          <t>&gt;= 2</t>
        </is>
      </c>
      <c r="G70" s="7" t="inlineStr">
        <is>
          <t>User</t>
        </is>
      </c>
      <c r="H70" s="7" t="inlineStr">
        <is>
          <t>Calculation</t>
        </is>
      </c>
      <c r="I70" s="7" t="n">
        <v>5</v>
      </c>
      <c r="J70" s="7" t="inlineStr">
        <is>
          <t>39(a)(1), 39(a)(2), 39(b), 39(c), 39(d)</t>
        </is>
      </c>
    </row>
    <row r="71">
      <c r="A71" s="10" t="inlineStr">
        <is>
          <t>PRT-02</t>
        </is>
      </c>
      <c r="B71" s="7" t="inlineStr">
        <is>
          <t>Partition</t>
        </is>
      </c>
      <c r="C71" s="7" t="inlineStr">
        <is>
          <t>Property categories in partition</t>
        </is>
      </c>
      <c r="D71" s="7" t="inlineStr">
        <is>
          <t>Which categories of property are involved? (multi-select)</t>
        </is>
      </c>
      <c r="E71" s="7" t="inlineStr">
        <is>
          <t>Multi-select</t>
        </is>
      </c>
      <c r="F71" s="7" t="inlineStr">
        <is>
          <t>Non-agricultural in Municipal Corporation / UDA / CMC / TMC / Town Panchayat limits; Non-agricultural in other areas; Agricultural land; Movable property / money</t>
        </is>
      </c>
      <c r="G71" s="7" t="inlineStr">
        <is>
          <t>User / Property module</t>
        </is>
      </c>
      <c r="H71" s="7" t="inlineStr">
        <is>
          <t>Identification</t>
        </is>
      </c>
      <c r="I71" s="7" t="n">
        <v>5</v>
      </c>
      <c r="J71" s="7" t="inlineStr">
        <is>
          <t>39(a)(1), 39(a)(2), 39(b), 39(c), 39(d)</t>
        </is>
      </c>
    </row>
    <row r="72">
      <c r="A72" s="10" t="inlineStr">
        <is>
          <t>PRT-03</t>
        </is>
      </c>
      <c r="B72" s="7" t="inlineStr">
        <is>
          <t>Partition</t>
        </is>
      </c>
      <c r="C72" s="7" t="inlineStr">
        <is>
          <t>Earlier partition order / award stamped</t>
        </is>
      </c>
      <c r="D72" s="7" t="inlineStr">
        <is>
          <t>Was a final partition order (revenue authority / civil court) or arbitral award directing partition already stamped as an instrument of partition? (caps duty at Rs.50)</t>
        </is>
      </c>
      <c r="E72" s="7" t="inlineStr">
        <is>
          <t>Yes/No + Ref</t>
        </is>
      </c>
      <c r="F72" s="7" t="inlineStr">
        <is>
          <t>Yes / No</t>
        </is>
      </c>
      <c r="G72" s="7" t="inlineStr">
        <is>
          <t>User</t>
        </is>
      </c>
      <c r="H72" s="7" t="inlineStr">
        <is>
          <t>Exemption / Adjustment</t>
        </is>
      </c>
      <c r="I72" s="7" t="n">
        <v>5</v>
      </c>
      <c r="J72" s="7" t="inlineStr">
        <is>
          <t>39(a)(1), 39(a)(2), 39(b), 39(c), 39(d)</t>
        </is>
      </c>
    </row>
    <row r="73">
      <c r="A73" s="8" t="inlineStr">
        <is>
          <t>PTN-01</t>
        </is>
      </c>
      <c r="B73" s="9" t="inlineStr">
        <is>
          <t>Partnership</t>
        </is>
      </c>
      <c r="C73" s="9" t="inlineStr">
        <is>
          <t>Partnership instrument type</t>
        </is>
      </c>
      <c r="D73" s="7" t="inlineStr">
        <is>
          <t>Is the instrument for Constitution, Reconstitution or Dissolution of the partnership?</t>
        </is>
      </c>
      <c r="E73" s="7" t="inlineStr">
        <is>
          <t>Dropdown</t>
        </is>
      </c>
      <c r="F73" s="7" t="inlineStr">
        <is>
          <t>Constitution, Reconstitution, Dissolution</t>
        </is>
      </c>
      <c r="G73" s="7" t="inlineStr">
        <is>
          <t>User</t>
        </is>
      </c>
      <c r="H73" s="7" t="inlineStr">
        <is>
          <t>Identification</t>
        </is>
      </c>
      <c r="I73" s="7" t="n">
        <v>5</v>
      </c>
      <c r="J73" s="7" t="inlineStr">
        <is>
          <t>40-A, 40-B(a), 40-B(b), 40-C(a), 40-C(b)</t>
        </is>
      </c>
    </row>
    <row r="74">
      <c r="A74" s="10" t="inlineStr">
        <is>
          <t>PTN-02</t>
        </is>
      </c>
      <c r="B74" s="7" t="inlineStr">
        <is>
          <t>Partnership</t>
        </is>
      </c>
      <c r="C74" s="7" t="inlineStr">
        <is>
          <t>Immovable property of outgoing partner remains with firm</t>
        </is>
      </c>
      <c r="D74" s="7" t="inlineStr">
        <is>
          <t>On reconstitution, does immovable property contributed by the outgoing partner(s) remain with the firm? If yes, its market value</t>
        </is>
      </c>
      <c r="E74" s="7" t="inlineStr">
        <is>
          <t>Yes/No + Amount</t>
        </is>
      </c>
      <c r="F74" s="7" t="inlineStr">
        <is>
          <t>Yes / No</t>
        </is>
      </c>
      <c r="G74" s="7" t="inlineStr">
        <is>
          <t>User / System</t>
        </is>
      </c>
      <c r="H74" s="7" t="inlineStr">
        <is>
          <t>Identification</t>
        </is>
      </c>
      <c r="I74" s="7" t="n">
        <v>2</v>
      </c>
      <c r="J74" s="7" t="inlineStr">
        <is>
          <t>40-B(a), 40-B(b)</t>
        </is>
      </c>
    </row>
    <row r="75">
      <c r="A75" s="10" t="inlineStr">
        <is>
          <t>PTN-03</t>
        </is>
      </c>
      <c r="B75" s="7" t="inlineStr">
        <is>
          <t>Partnership</t>
        </is>
      </c>
      <c r="C75" s="7" t="inlineStr">
        <is>
          <t>Partner's property allotted to another partner on dissolution</t>
        </is>
      </c>
      <c r="D75" s="7" t="inlineStr">
        <is>
          <t>On dissolution, is property that belonged to one partner (when the firm commenced) distributed / allotted to another partner? If yes, its market value</t>
        </is>
      </c>
      <c r="E75" s="7" t="inlineStr">
        <is>
          <t>Yes/No + Amount</t>
        </is>
      </c>
      <c r="F75" s="7" t="inlineStr">
        <is>
          <t>Yes / No</t>
        </is>
      </c>
      <c r="G75" s="7" t="inlineStr">
        <is>
          <t>User / System</t>
        </is>
      </c>
      <c r="H75" s="7" t="inlineStr">
        <is>
          <t>Identification</t>
        </is>
      </c>
      <c r="I75" s="7" t="n">
        <v>2</v>
      </c>
      <c r="J75" s="7" t="inlineStr">
        <is>
          <t>40-C(a), 40-C(b)</t>
        </is>
      </c>
    </row>
    <row r="76">
      <c r="A76" s="8" t="inlineStr">
        <is>
          <t>LLP-01</t>
        </is>
      </c>
      <c r="B76" s="9" t="inlineStr">
        <is>
          <t>LLP</t>
        </is>
      </c>
      <c r="C76" s="9" t="inlineStr">
        <is>
          <t>LLP instrument type</t>
        </is>
      </c>
      <c r="D76" s="7" t="inlineStr">
        <is>
          <t>Type of LLP instrument</t>
        </is>
      </c>
      <c r="E76" s="7" t="inlineStr">
        <is>
          <t>Dropdown</t>
        </is>
      </c>
      <c r="F76" s="7" t="inlineStr">
        <is>
          <t>Constitution of LLP, Conversion of firm / private company / unlisted public company into LLP, Reconstruction / amalgamation of LLP</t>
        </is>
      </c>
      <c r="G76" s="7" t="inlineStr">
        <is>
          <t>User</t>
        </is>
      </c>
      <c r="H76" s="7" t="inlineStr">
        <is>
          <t>Identification</t>
        </is>
      </c>
      <c r="I76" s="7" t="n">
        <v>3</v>
      </c>
      <c r="J76" s="7" t="inlineStr">
        <is>
          <t>40A-A(a), 40A-A(b), 40A-B</t>
        </is>
      </c>
    </row>
    <row r="77">
      <c r="A77" s="10" t="inlineStr">
        <is>
          <t>LLP-02</t>
        </is>
      </c>
      <c r="B77" s="7" t="inlineStr">
        <is>
          <t>LLP</t>
        </is>
      </c>
      <c r="C77" s="7" t="inlineStr">
        <is>
          <t>Capital contribution</t>
        </is>
      </c>
      <c r="D77" s="7" t="inlineStr">
        <is>
          <t>Total capital of the LLP (Rs.)</t>
        </is>
      </c>
      <c r="E77" s="7" t="inlineStr">
        <is>
          <t>Amount</t>
        </is>
      </c>
      <c r="F77" s="7" t="inlineStr">
        <is>
          <t>&gt;= 0</t>
        </is>
      </c>
      <c r="G77" s="7" t="inlineStr">
        <is>
          <t>User</t>
        </is>
      </c>
      <c r="H77" s="7" t="inlineStr">
        <is>
          <t>Calculation</t>
        </is>
      </c>
      <c r="I77" s="7" t="n">
        <v>2</v>
      </c>
      <c r="J77" s="7" t="inlineStr">
        <is>
          <t>40A-A(a), 40A-A(b)</t>
        </is>
      </c>
    </row>
    <row r="78">
      <c r="A78" s="10" t="inlineStr">
        <is>
          <t>LLP-03</t>
        </is>
      </c>
      <c r="B78" s="7" t="inlineStr">
        <is>
          <t>LLP</t>
        </is>
      </c>
      <c r="C78" s="7" t="inlineStr">
        <is>
          <t>MV of Karnataka property of transferor LLP</t>
        </is>
      </c>
      <c r="D78" s="7" t="inlineStr">
        <is>
          <t>Market value of property of the transferor LLP located in Karnataka and the consideration</t>
        </is>
      </c>
      <c r="E78" s="7" t="inlineStr">
        <is>
          <t>Amount x 2</t>
        </is>
      </c>
      <c r="F78" s="7" t="inlineStr">
        <is>
          <t>&gt;= 0</t>
        </is>
      </c>
      <c r="G78" s="7" t="inlineStr">
        <is>
          <t>User / System</t>
        </is>
      </c>
      <c r="H78" s="7" t="inlineStr">
        <is>
          <t>Calculation</t>
        </is>
      </c>
      <c r="I78" s="7" t="n">
        <v>1</v>
      </c>
      <c r="J78" s="7" t="inlineStr">
        <is>
          <t>40A-B</t>
        </is>
      </c>
    </row>
    <row r="79">
      <c r="A79" s="8" t="inlineStr">
        <is>
          <t>CMP-01</t>
        </is>
      </c>
      <c r="B79" s="9" t="inlineStr">
        <is>
          <t>Company</t>
        </is>
      </c>
      <c r="C79" s="9" t="inlineStr">
        <is>
          <t>Share capital</t>
        </is>
      </c>
      <c r="D79" s="7" t="inlineStr">
        <is>
          <t>Nominal / increased share capital of the company (Rs.)</t>
        </is>
      </c>
      <c r="E79" s="7" t="inlineStr">
        <is>
          <t>Amount</t>
        </is>
      </c>
      <c r="F79" s="7" t="inlineStr">
        <is>
          <t>&gt;= 0</t>
        </is>
      </c>
      <c r="G79" s="7" t="inlineStr">
        <is>
          <t>User</t>
        </is>
      </c>
      <c r="H79" s="7" t="inlineStr">
        <is>
          <t>Calculation</t>
        </is>
      </c>
      <c r="I79" s="7" t="n">
        <v>2</v>
      </c>
      <c r="J79" s="7" t="inlineStr">
        <is>
          <t>10, 33(b)</t>
        </is>
      </c>
    </row>
    <row r="80">
      <c r="A80" s="10" t="inlineStr">
        <is>
          <t>CMP-02</t>
        </is>
      </c>
      <c r="B80" s="7" t="inlineStr">
        <is>
          <t>Company</t>
        </is>
      </c>
      <c r="C80" s="7" t="inlineStr">
        <is>
          <t>Not-for-profit company</t>
        </is>
      </c>
      <c r="D80" s="7" t="inlineStr">
        <is>
          <t>Is the company / association not formed for profit (Sec 25, Companies Act 1956 / Sec 8, 2013)?</t>
        </is>
      </c>
      <c r="E80" s="7" t="inlineStr">
        <is>
          <t>Yes/No</t>
        </is>
      </c>
      <c r="F80" s="7" t="inlineStr">
        <is>
          <t>Yes / No</t>
        </is>
      </c>
      <c r="G80" s="7" t="inlineStr">
        <is>
          <t>User</t>
        </is>
      </c>
      <c r="H80" s="7" t="inlineStr">
        <is>
          <t>Exemption / Adjustment</t>
        </is>
      </c>
      <c r="I80" s="7" t="n">
        <v>3</v>
      </c>
      <c r="J80" s="7" t="inlineStr">
        <is>
          <t>10, 33(a), 33(b)</t>
        </is>
      </c>
    </row>
    <row r="81">
      <c r="A81" s="10" t="inlineStr">
        <is>
          <t>CMP-03</t>
        </is>
      </c>
      <c r="B81" s="7" t="inlineStr">
        <is>
          <t>Company</t>
        </is>
      </c>
      <c r="C81" s="7" t="inlineStr">
        <is>
          <t>MoA accompanied by AoA</t>
        </is>
      </c>
      <c r="D81" s="7" t="inlineStr">
        <is>
          <t>Is the Memorandum of Association accompanied by Articles of Association?</t>
        </is>
      </c>
      <c r="E81" s="7" t="inlineStr">
        <is>
          <t>Yes/No</t>
        </is>
      </c>
      <c r="F81" s="7" t="inlineStr">
        <is>
          <t>Yes / No</t>
        </is>
      </c>
      <c r="G81" s="7" t="inlineStr">
        <is>
          <t>User</t>
        </is>
      </c>
      <c r="H81" s="7" t="inlineStr">
        <is>
          <t>Identification</t>
        </is>
      </c>
      <c r="I81" s="7" t="n">
        <v>2</v>
      </c>
      <c r="J81" s="7" t="inlineStr">
        <is>
          <t>33(a), 33(b)</t>
        </is>
      </c>
    </row>
    <row r="82">
      <c r="A82" s="10" t="inlineStr">
        <is>
          <t>CMP-04</t>
        </is>
      </c>
      <c r="B82" s="7" t="inlineStr">
        <is>
          <t>Company</t>
        </is>
      </c>
      <c r="C82" s="7" t="inlineStr">
        <is>
          <t>Scheme type (court / NCLT order)</t>
        </is>
      </c>
      <c r="D82" s="7" t="inlineStr">
        <is>
          <t>Is the order for Amalgamation, or Reconstruction / Demerger? Ordering authority?</t>
        </is>
      </c>
      <c r="E82" s="7" t="inlineStr">
        <is>
          <t>Dropdown</t>
        </is>
      </c>
      <c r="F82" s="7" t="inlineStr">
        <is>
          <t>Amalgamation (incl. subsidiary with parent), Reconstruction / Demerger; High Court / NCLT / Tribunal / Authority</t>
        </is>
      </c>
      <c r="G82" s="7" t="inlineStr">
        <is>
          <t>User</t>
        </is>
      </c>
      <c r="H82" s="7" t="inlineStr">
        <is>
          <t>Identification</t>
        </is>
      </c>
      <c r="I82" s="7" t="n">
        <v>2</v>
      </c>
      <c r="J82" s="7" t="inlineStr">
        <is>
          <t>20(4)(i), 20(4)(ii)</t>
        </is>
      </c>
    </row>
    <row r="83">
      <c r="A83" s="10" t="inlineStr">
        <is>
          <t>CMP-05</t>
        </is>
      </c>
      <c r="B83" s="7" t="inlineStr">
        <is>
          <t>Company</t>
        </is>
      </c>
      <c r="C83" s="7" t="inlineStr">
        <is>
          <t>MV of transferor's Karnataka property</t>
        </is>
      </c>
      <c r="D83" s="7" t="inlineStr">
        <is>
          <t>Market value of property of the transferor company located in Karnataka transferred</t>
        </is>
      </c>
      <c r="E83" s="7" t="inlineStr">
        <is>
          <t>Amount</t>
        </is>
      </c>
      <c r="F83" s="7" t="inlineStr">
        <is>
          <t>&gt;= 0</t>
        </is>
      </c>
      <c r="G83" s="7" t="inlineStr">
        <is>
          <t>System (Guidance Value module)</t>
        </is>
      </c>
      <c r="H83" s="7" t="inlineStr">
        <is>
          <t>Calculation</t>
        </is>
      </c>
      <c r="I83" s="7" t="n">
        <v>2</v>
      </c>
      <c r="J83" s="7" t="inlineStr">
        <is>
          <t>20(4)(i), 20(4)(ii)</t>
        </is>
      </c>
    </row>
    <row r="84">
      <c r="A84" s="10" t="inlineStr">
        <is>
          <t>CMP-06</t>
        </is>
      </c>
      <c r="B84" s="7" t="inlineStr">
        <is>
          <t>Company</t>
        </is>
      </c>
      <c r="C84" s="7" t="inlineStr">
        <is>
          <t>Aggregate value of shares allotted</t>
        </is>
      </c>
      <c r="D84" s="7" t="inlineStr">
        <is>
          <t>Aggregate value of shares issued / allotted / cancelled (higher of face value and market value)</t>
        </is>
      </c>
      <c r="E84" s="7" t="inlineStr">
        <is>
          <t>Amount</t>
        </is>
      </c>
      <c r="F84" s="7" t="inlineStr">
        <is>
          <t>&gt;= 0</t>
        </is>
      </c>
      <c r="G84" s="7" t="inlineStr">
        <is>
          <t>User</t>
        </is>
      </c>
      <c r="H84" s="7" t="inlineStr">
        <is>
          <t>Calculation</t>
        </is>
      </c>
      <c r="I84" s="7" t="n">
        <v>2</v>
      </c>
      <c r="J84" s="7" t="inlineStr">
        <is>
          <t>20(4)(i), 20(4)(ii)</t>
        </is>
      </c>
    </row>
    <row r="85">
      <c r="A85" s="10" t="inlineStr">
        <is>
          <t>CMP-07</t>
        </is>
      </c>
      <c r="B85" s="7" t="inlineStr">
        <is>
          <t>Company</t>
        </is>
      </c>
      <c r="C85" s="7" t="inlineStr">
        <is>
          <t>Consideration for amalgamation / demerger</t>
        </is>
      </c>
      <c r="D85" s="7" t="inlineStr">
        <is>
          <t>Consideration, if any, paid for the amalgamation / demerger / reconstruction (Rs.)</t>
        </is>
      </c>
      <c r="E85" s="7" t="inlineStr">
        <is>
          <t>Amount</t>
        </is>
      </c>
      <c r="F85" s="7" t="inlineStr">
        <is>
          <t>&gt;= 0</t>
        </is>
      </c>
      <c r="G85" s="7" t="inlineStr">
        <is>
          <t>User</t>
        </is>
      </c>
      <c r="H85" s="7" t="inlineStr">
        <is>
          <t>Calculation</t>
        </is>
      </c>
      <c r="I85" s="7" t="n">
        <v>2</v>
      </c>
      <c r="J85" s="7" t="inlineStr">
        <is>
          <t>20(4)(i), 20(4)(ii)</t>
        </is>
      </c>
    </row>
    <row r="86">
      <c r="A86" s="10" t="inlineStr">
        <is>
          <t>CMP-08</t>
        </is>
      </c>
      <c r="B86" s="7" t="inlineStr">
        <is>
          <t>Company</t>
        </is>
      </c>
      <c r="C86" s="7" t="inlineStr">
        <is>
          <t>Sick company amalgamation under BIFR order</t>
        </is>
      </c>
      <c r="D86" s="7" t="inlineStr">
        <is>
          <t>Is it an amalgamation of a sick company under BIFR order? (exempt)</t>
        </is>
      </c>
      <c r="E86" s="7" t="inlineStr">
        <is>
          <t>Yes/No</t>
        </is>
      </c>
      <c r="F86" s="7" t="inlineStr">
        <is>
          <t>Yes / No</t>
        </is>
      </c>
      <c r="G86" s="7" t="inlineStr">
        <is>
          <t>User</t>
        </is>
      </c>
      <c r="H86" s="7" t="inlineStr">
        <is>
          <t>Exemption / Adjustment</t>
        </is>
      </c>
      <c r="I86" s="7" t="n">
        <v>1</v>
      </c>
      <c r="J86" s="7" t="inlineStr">
        <is>
          <t>20(4)(i)</t>
        </is>
      </c>
    </row>
    <row r="87">
      <c r="A87" s="10" t="inlineStr">
        <is>
          <t>CMP-09</t>
        </is>
      </c>
      <c r="B87" s="7" t="inlineStr">
        <is>
          <t>Company</t>
        </is>
      </c>
      <c r="C87" s="7" t="inlineStr">
        <is>
          <t>Value of shares incl. premium</t>
        </is>
      </c>
      <c r="D87" s="7" t="inlineStr">
        <is>
          <t>Value of shares / scrip / stock including premium (Rs.)</t>
        </is>
      </c>
      <c r="E87" s="7" t="inlineStr">
        <is>
          <t>Amount</t>
        </is>
      </c>
      <c r="F87" s="7" t="inlineStr">
        <is>
          <t>&gt;= 0</t>
        </is>
      </c>
      <c r="G87" s="7" t="inlineStr">
        <is>
          <t>User</t>
        </is>
      </c>
      <c r="H87" s="7" t="inlineStr">
        <is>
          <t>Calculation</t>
        </is>
      </c>
      <c r="I87" s="7" t="n">
        <v>1</v>
      </c>
      <c r="J87" s="7" t="inlineStr">
        <is>
          <t>16</t>
        </is>
      </c>
    </row>
    <row r="88">
      <c r="A88" s="10" t="inlineStr">
        <is>
          <t>CMP-10</t>
        </is>
      </c>
      <c r="B88" s="7" t="inlineStr">
        <is>
          <t>Company</t>
        </is>
      </c>
      <c r="C88" s="7" t="inlineStr">
        <is>
          <t>Receivables assigned (securitisation)</t>
        </is>
      </c>
      <c r="D88" s="7" t="inlineStr">
        <is>
          <t>Amount of receivables assigned by originator to SPV (Rs.)</t>
        </is>
      </c>
      <c r="E88" s="7" t="inlineStr">
        <is>
          <t>Amount</t>
        </is>
      </c>
      <c r="F88" s="7" t="inlineStr">
        <is>
          <t>&gt;= 0</t>
        </is>
      </c>
      <c r="G88" s="7" t="inlineStr">
        <is>
          <t>User</t>
        </is>
      </c>
      <c r="H88" s="7" t="inlineStr">
        <is>
          <t>Calculation</t>
        </is>
      </c>
      <c r="I88" s="7" t="n">
        <v>1</v>
      </c>
      <c r="J88" s="7" t="inlineStr">
        <is>
          <t>20(6)</t>
        </is>
      </c>
    </row>
    <row r="89">
      <c r="A89" s="10" t="inlineStr">
        <is>
          <t>CMP-11</t>
        </is>
      </c>
      <c r="B89" s="7" t="inlineStr">
        <is>
          <t>Company</t>
        </is>
      </c>
      <c r="C89" s="7" t="inlineStr">
        <is>
          <t>Nominal amount of shares in warrant</t>
        </is>
      </c>
      <c r="D89" s="7" t="inlineStr">
        <is>
          <t>Nominal amount of shares specified in the share warrant (Rs.)</t>
        </is>
      </c>
      <c r="E89" s="7" t="inlineStr">
        <is>
          <t>Amount</t>
        </is>
      </c>
      <c r="F89" s="7" t="inlineStr">
        <is>
          <t>&gt;= 0</t>
        </is>
      </c>
      <c r="G89" s="7" t="inlineStr">
        <is>
          <t>User</t>
        </is>
      </c>
      <c r="H89" s="7" t="inlineStr">
        <is>
          <t>Calculation</t>
        </is>
      </c>
      <c r="I89" s="7" t="n">
        <v>1</v>
      </c>
      <c r="J89" s="7" t="inlineStr">
        <is>
          <t>49</t>
        </is>
      </c>
    </row>
    <row r="90">
      <c r="A90" s="10" t="inlineStr">
        <is>
          <t>CMP-12</t>
        </is>
      </c>
      <c r="B90" s="7" t="inlineStr">
        <is>
          <t>Company</t>
        </is>
      </c>
      <c r="C90" s="7" t="inlineStr">
        <is>
          <t>Face value of debentures</t>
        </is>
      </c>
      <c r="D90" s="7" t="inlineStr">
        <is>
          <t>Face value of debentures transferred (Rs.)</t>
        </is>
      </c>
      <c r="E90" s="7" t="inlineStr">
        <is>
          <t>Amount</t>
        </is>
      </c>
      <c r="F90" s="7" t="inlineStr">
        <is>
          <t>&gt;= 0</t>
        </is>
      </c>
      <c r="G90" s="7" t="inlineStr">
        <is>
          <t>User</t>
        </is>
      </c>
      <c r="H90" s="7" t="inlineStr">
        <is>
          <t>Calculation</t>
        </is>
      </c>
      <c r="I90" s="7" t="n">
        <v>1</v>
      </c>
      <c r="J90" s="7" t="inlineStr">
        <is>
          <t>52(a)</t>
        </is>
      </c>
    </row>
    <row r="91">
      <c r="A91" s="10" t="inlineStr">
        <is>
          <t>CMP-13</t>
        </is>
      </c>
      <c r="B91" s="7" t="inlineStr">
        <is>
          <t>Company</t>
        </is>
      </c>
      <c r="C91" s="7" t="inlineStr">
        <is>
          <t>Broker note transaction type</t>
        </is>
      </c>
      <c r="D91" s="7" t="inlineStr">
        <is>
          <t>Type of transaction in the broker / agent note</t>
        </is>
      </c>
      <c r="E91" s="7" t="inlineStr">
        <is>
          <t>Dropdown</t>
        </is>
      </c>
      <c r="F91" s="7" t="inlineStr">
        <is>
          <t>Goods / commodities / currencies; Shares &amp; non-Govt securities; Government security; Other securities (delivery / non-delivery); Futures &amp; options; Forward contracts of commodities</t>
        </is>
      </c>
      <c r="G91" s="7" t="inlineStr">
        <is>
          <t>User</t>
        </is>
      </c>
      <c r="H91" s="7" t="inlineStr">
        <is>
          <t>Identification</t>
        </is>
      </c>
      <c r="I91" s="7" t="n">
        <v>6</v>
      </c>
      <c r="J91" s="7" t="inlineStr">
        <is>
          <t>37(a), 37(b), 37(c), 37(d), 37(e), 37(f)</t>
        </is>
      </c>
    </row>
    <row r="92">
      <c r="A92" s="10" t="inlineStr">
        <is>
          <t>CMP-14</t>
        </is>
      </c>
      <c r="B92" s="7" t="inlineStr">
        <is>
          <t>Company</t>
        </is>
      </c>
      <c r="C92" s="7" t="inlineStr">
        <is>
          <t>Clearance list type</t>
        </is>
      </c>
      <c r="D92" s="7" t="inlineStr">
        <is>
          <t>Clearance list relates to: Govt securities / securities on recognised exchange / securities on unrecognised exchange</t>
        </is>
      </c>
      <c r="E92" s="7" t="inlineStr">
        <is>
          <t>Dropdown</t>
        </is>
      </c>
      <c r="F92" s="7" t="inlineStr">
        <is>
          <t>Govt securities, Recognised exchange, Unrecognised exchange</t>
        </is>
      </c>
      <c r="G92" s="7" t="inlineStr">
        <is>
          <t>User</t>
        </is>
      </c>
      <c r="H92" s="7" t="inlineStr">
        <is>
          <t>Identification</t>
        </is>
      </c>
      <c r="I92" s="7" t="n">
        <v>3</v>
      </c>
      <c r="J92" s="7" t="inlineStr">
        <is>
          <t>18-A(1), 18-A(2), 18-A(3)</t>
        </is>
      </c>
    </row>
    <row r="93">
      <c r="A93" s="8" t="inlineStr">
        <is>
          <t>TRS-01</t>
        </is>
      </c>
      <c r="B93" s="9" t="inlineStr">
        <is>
          <t>Trust</t>
        </is>
      </c>
      <c r="C93" s="9" t="inlineStr">
        <is>
          <t>Purpose of trust</t>
        </is>
      </c>
      <c r="D93" s="7" t="inlineStr">
        <is>
          <t>Purpose of the declaration of trust</t>
        </is>
      </c>
      <c r="E93" s="7" t="inlineStr">
        <is>
          <t>Dropdown</t>
        </is>
      </c>
      <c r="F93" s="7" t="inlineStr">
        <is>
          <t>Exclusively public religious and charitable; Management &amp; custody for distributing benefits with no transfer / disposition; Involves transfer / disposition of property</t>
        </is>
      </c>
      <c r="G93" s="7" t="inlineStr">
        <is>
          <t>User</t>
        </is>
      </c>
      <c r="H93" s="7" t="inlineStr">
        <is>
          <t>Identification</t>
        </is>
      </c>
      <c r="I93" s="7" t="n">
        <v>3</v>
      </c>
      <c r="J93" s="7" t="inlineStr">
        <is>
          <t>54(i), 54(ii), 54(iii)</t>
        </is>
      </c>
    </row>
    <row r="94">
      <c r="A94" s="10" t="inlineStr">
        <is>
          <t>TRS-02</t>
        </is>
      </c>
      <c r="B94" s="7" t="inlineStr">
        <is>
          <t>Trust</t>
        </is>
      </c>
      <c r="C94" s="7" t="inlineStr">
        <is>
          <t>Transfer of trust property - parties</t>
        </is>
      </c>
      <c r="D94" s="7" t="inlineStr">
        <is>
          <t>Transfer is from / to: Trust to Trust, Trust to Trustee / Beneficiary, Trustee to Trust / Trustee / Beneficiary; Is transferor a public religious &amp; charitable trust?</t>
        </is>
      </c>
      <c r="E94" s="7" t="inlineStr">
        <is>
          <t>Dropdown + Yes/No</t>
        </is>
      </c>
      <c r="F94" s="7" t="inlineStr">
        <is>
          <t>As listed</t>
        </is>
      </c>
      <c r="G94" s="7" t="inlineStr">
        <is>
          <t>User</t>
        </is>
      </c>
      <c r="H94" s="7" t="inlineStr">
        <is>
          <t>Calculation</t>
        </is>
      </c>
      <c r="I94" s="7" t="n">
        <v>1</v>
      </c>
      <c r="J94" s="7" t="inlineStr">
        <is>
          <t>52(d)</t>
        </is>
      </c>
    </row>
    <row r="95">
      <c r="A95" s="8" t="inlineStr">
        <is>
          <t>STL-01</t>
        </is>
      </c>
      <c r="B95" s="9" t="inlineStr">
        <is>
          <t>Settlement</t>
        </is>
      </c>
      <c r="C95" s="9" t="inlineStr">
        <is>
          <t>Settlement instrument type</t>
        </is>
      </c>
      <c r="D95" s="7" t="inlineStr">
        <is>
          <t>Is it an instrument of settlement (incl. deed of dower) or revocation of settlement?</t>
        </is>
      </c>
      <c r="E95" s="7" t="inlineStr">
        <is>
          <t>Dropdown</t>
        </is>
      </c>
      <c r="F95" s="7" t="inlineStr">
        <is>
          <t>Instrument of Settlement, Revocation of Settlement</t>
        </is>
      </c>
      <c r="G95" s="7" t="inlineStr">
        <is>
          <t>User</t>
        </is>
      </c>
      <c r="H95" s="7" t="inlineStr">
        <is>
          <t>Identification</t>
        </is>
      </c>
      <c r="I95" s="7" t="n">
        <v>3</v>
      </c>
      <c r="J95" s="7" t="inlineStr">
        <is>
          <t>48-A(i), 48-A(ii), 48-B</t>
        </is>
      </c>
    </row>
    <row r="96">
      <c r="A96" s="10" t="inlineStr">
        <is>
          <t>STL-02</t>
        </is>
      </c>
      <c r="B96" s="7" t="inlineStr">
        <is>
          <t>Settlement</t>
        </is>
      </c>
      <c r="C96" s="7" t="inlineStr">
        <is>
          <t>Disposition among family</t>
        </is>
      </c>
      <c r="D96" s="7" t="inlineStr">
        <is>
          <t>Is the disposition for distributing the settlor's property among his / her family members? (validated against GEN-07 &amp; Family_Definitions)</t>
        </is>
      </c>
      <c r="E96" s="7" t="inlineStr">
        <is>
          <t>Yes/No</t>
        </is>
      </c>
      <c r="F96" s="7" t="inlineStr">
        <is>
          <t>Yes / No</t>
        </is>
      </c>
      <c r="G96" s="7" t="inlineStr">
        <is>
          <t>User + System</t>
        </is>
      </c>
      <c r="H96" s="7" t="inlineStr">
        <is>
          <t>Identification</t>
        </is>
      </c>
      <c r="I96" s="7" t="n">
        <v>2</v>
      </c>
      <c r="J96" s="7" t="inlineStr">
        <is>
          <t>48-A(i), 48-A(ii)</t>
        </is>
      </c>
    </row>
    <row r="97">
      <c r="A97" s="10" t="inlineStr">
        <is>
          <t>STL-03</t>
        </is>
      </c>
      <c r="B97" s="7" t="inlineStr">
        <is>
          <t>Settlement</t>
        </is>
      </c>
      <c r="C97" s="7" t="inlineStr">
        <is>
          <t>Agreement to settle already stamped</t>
        </is>
      </c>
      <c r="D97" s="7" t="inlineStr">
        <is>
          <t>Was an agreement to settle already stamped with duty required for settlement? (caps at Rs.50)</t>
        </is>
      </c>
      <c r="E97" s="7" t="inlineStr">
        <is>
          <t>Yes/No + Doc ref</t>
        </is>
      </c>
      <c r="F97" s="7" t="inlineStr">
        <is>
          <t>Yes / No</t>
        </is>
      </c>
      <c r="G97" s="7" t="inlineStr">
        <is>
          <t>User / System</t>
        </is>
      </c>
      <c r="H97" s="7" t="inlineStr">
        <is>
          <t>Exemption / Adjustment</t>
        </is>
      </c>
      <c r="I97" s="7" t="n">
        <v>1</v>
      </c>
      <c r="J97" s="7" t="inlineStr">
        <is>
          <t>48-A(i)</t>
        </is>
      </c>
    </row>
    <row r="98">
      <c r="A98" s="10" t="inlineStr">
        <is>
          <t>STL-04</t>
        </is>
      </c>
      <c r="B98" s="7" t="inlineStr">
        <is>
          <t>Settlement</t>
        </is>
      </c>
      <c r="C98" s="7" t="inlineStr">
        <is>
          <t>Deed of dower on Muhammadan marriage</t>
        </is>
      </c>
      <c r="D98" s="7" t="inlineStr">
        <is>
          <t>Is it a deed of dower executed on the occasion of a marriage between Muhammadans? (exempt)</t>
        </is>
      </c>
      <c r="E98" s="7" t="inlineStr">
        <is>
          <t>Yes/No</t>
        </is>
      </c>
      <c r="F98" s="7" t="inlineStr">
        <is>
          <t>Yes / No</t>
        </is>
      </c>
      <c r="G98" s="7" t="inlineStr">
        <is>
          <t>User</t>
        </is>
      </c>
      <c r="H98" s="7" t="inlineStr">
        <is>
          <t>Exemption / Adjustment</t>
        </is>
      </c>
      <c r="I98" s="7" t="n">
        <v>2</v>
      </c>
      <c r="J98" s="7" t="inlineStr">
        <is>
          <t>48-A(i), 48-A(ii)</t>
        </is>
      </c>
    </row>
    <row r="99">
      <c r="A99" s="8" t="inlineStr">
        <is>
          <t>GFT-01</t>
        </is>
      </c>
      <c r="B99" s="9" t="inlineStr">
        <is>
          <t>Gift</t>
        </is>
      </c>
      <c r="C99" s="9" t="inlineStr">
        <is>
          <t>Gift contains revocation clause</t>
        </is>
      </c>
      <c r="D99" s="7" t="inlineStr">
        <is>
          <t>Does the gift instrument contain any provision for revocation? (value taken as if no such provision)</t>
        </is>
      </c>
      <c r="E99" s="7" t="inlineStr">
        <is>
          <t>Yes/No</t>
        </is>
      </c>
      <c r="F99" s="7" t="inlineStr">
        <is>
          <t>Yes / No</t>
        </is>
      </c>
      <c r="G99" s="7" t="inlineStr">
        <is>
          <t>User</t>
        </is>
      </c>
      <c r="H99" s="7" t="inlineStr">
        <is>
          <t>Calculation</t>
        </is>
      </c>
      <c r="I99" s="7" t="n">
        <v>1</v>
      </c>
      <c r="J99" s="7" t="inlineStr">
        <is>
          <t>28(a)</t>
        </is>
      </c>
    </row>
    <row r="100">
      <c r="A100" s="8" t="inlineStr">
        <is>
          <t>REL-01</t>
        </is>
      </c>
      <c r="B100" s="9" t="inlineStr">
        <is>
          <t>Release</t>
        </is>
      </c>
      <c r="C100" s="9" t="inlineStr">
        <is>
          <t>Release type</t>
        </is>
      </c>
      <c r="D100" s="7" t="inlineStr">
        <is>
          <t>What is being released?</t>
        </is>
      </c>
      <c r="E100" s="7" t="inlineStr">
        <is>
          <t>Dropdown</t>
        </is>
      </c>
      <c r="F100" s="7" t="inlineStr">
        <is>
          <t>Right / claim / share in property, Mortgage rights or lien</t>
        </is>
      </c>
      <c r="G100" s="7" t="inlineStr">
        <is>
          <t>User</t>
        </is>
      </c>
      <c r="H100" s="7" t="inlineStr">
        <is>
          <t>Identification</t>
        </is>
      </c>
      <c r="I100" s="7" t="n">
        <v>3</v>
      </c>
      <c r="J100" s="7" t="inlineStr">
        <is>
          <t>45(a), 45(b), 45(c)</t>
        </is>
      </c>
    </row>
    <row r="101">
      <c r="A101" s="10" t="inlineStr">
        <is>
          <t>REL-02</t>
        </is>
      </c>
      <c r="B101" s="7" t="inlineStr">
        <is>
          <t>Release</t>
        </is>
      </c>
      <c r="C101" s="7" t="inlineStr">
        <is>
          <t>Value of claim renounced</t>
        </is>
      </c>
      <c r="D101" s="7" t="inlineStr">
        <is>
          <t>Amount or value of the claim / part of claim renounced (Rs.)</t>
        </is>
      </c>
      <c r="E101" s="7" t="inlineStr">
        <is>
          <t>Amount</t>
        </is>
      </c>
      <c r="F101" s="7" t="inlineStr">
        <is>
          <t>&gt;= 0</t>
        </is>
      </c>
      <c r="G101" s="7" t="inlineStr">
        <is>
          <t>User / System</t>
        </is>
      </c>
      <c r="H101" s="7" t="inlineStr">
        <is>
          <t>Calculation</t>
        </is>
      </c>
      <c r="I101" s="7" t="n">
        <v>1</v>
      </c>
      <c r="J101" s="7" t="inlineStr">
        <is>
          <t>45(a)</t>
        </is>
      </c>
    </row>
    <row r="102">
      <c r="A102" s="8" t="inlineStr">
        <is>
          <t>CNL-01</t>
        </is>
      </c>
      <c r="B102" s="9" t="inlineStr">
        <is>
          <t>Cancellation</t>
        </is>
      </c>
      <c r="C102" s="9" t="inlineStr">
        <is>
          <t>Instrument being cancelled</t>
        </is>
      </c>
      <c r="D102" s="7" t="inlineStr">
        <is>
          <t>Document number, article and stamp duty paid on the original instrument being cancelled</t>
        </is>
      </c>
      <c r="E102" s="7" t="inlineStr">
        <is>
          <t>Doc ref + Article + Amount</t>
        </is>
      </c>
      <c r="F102" s="7" t="inlineStr">
        <is>
          <t>Must exist in registry / e-Stamp</t>
        </is>
      </c>
      <c r="G102" s="7" t="inlineStr">
        <is>
          <t>User / System</t>
        </is>
      </c>
      <c r="H102" s="7" t="inlineStr">
        <is>
          <t>Identification</t>
        </is>
      </c>
      <c r="I102" s="7" t="n">
        <v>3</v>
      </c>
      <c r="J102" s="7" t="inlineStr">
        <is>
          <t>14(a), 14(b), 14(c)</t>
        </is>
      </c>
    </row>
    <row r="103">
      <c r="A103" s="10" t="inlineStr">
        <is>
          <t>CNL-02</t>
        </is>
      </c>
      <c r="B103" s="7" t="inlineStr">
        <is>
          <t>Cancellation</t>
        </is>
      </c>
      <c r="C103" s="7" t="inlineStr">
        <is>
          <t>Original executed by Govt / authority</t>
        </is>
      </c>
      <c r="D103" s="7" t="inlineStr">
        <is>
          <t>Was the original instrument executed by / on behalf of the Central / State Government, a local or statutory authority, or a body corporate wholly owned / controlled by Government?</t>
        </is>
      </c>
      <c r="E103" s="7" t="inlineStr">
        <is>
          <t>Yes/No</t>
        </is>
      </c>
      <c r="F103" s="7" t="inlineStr">
        <is>
          <t>Yes / No</t>
        </is>
      </c>
      <c r="G103" s="7" t="inlineStr">
        <is>
          <t>User / System</t>
        </is>
      </c>
      <c r="H103" s="7" t="inlineStr">
        <is>
          <t>Identification</t>
        </is>
      </c>
      <c r="I103" s="7" t="n">
        <v>3</v>
      </c>
      <c r="J103" s="7" t="inlineStr">
        <is>
          <t>14(a), 14(b), 14(c)</t>
        </is>
      </c>
    </row>
    <row r="104">
      <c r="A104" s="10" t="inlineStr">
        <is>
          <t>CNL-03</t>
        </is>
      </c>
      <c r="B104" s="7" t="inlineStr">
        <is>
          <t>Cancellation</t>
        </is>
      </c>
      <c r="C104" s="7" t="inlineStr">
        <is>
          <t>Cancellation has effect of reconveyance</t>
        </is>
      </c>
      <c r="D104" s="7" t="inlineStr">
        <is>
          <t>Does the cancellation have the effect of reconveying property already conveyed by the original instrument?</t>
        </is>
      </c>
      <c r="E104" s="7" t="inlineStr">
        <is>
          <t>Yes/No</t>
        </is>
      </c>
      <c r="F104" s="7" t="inlineStr">
        <is>
          <t>Yes / No</t>
        </is>
      </c>
      <c r="G104" s="7" t="inlineStr">
        <is>
          <t>User</t>
        </is>
      </c>
      <c r="H104" s="7" t="inlineStr">
        <is>
          <t>Identification</t>
        </is>
      </c>
      <c r="I104" s="7" t="n">
        <v>2</v>
      </c>
      <c r="J104" s="7" t="inlineStr">
        <is>
          <t>14(a), 14(c)</t>
        </is>
      </c>
    </row>
    <row r="105">
      <c r="A105" s="10" t="inlineStr">
        <is>
          <t>CNL-04</t>
        </is>
      </c>
      <c r="B105" s="7" t="inlineStr">
        <is>
          <t>Cancellation</t>
        </is>
      </c>
      <c r="C105" s="7" t="inlineStr">
        <is>
          <t>Original instrument is conveyance on sale</t>
        </is>
      </c>
      <c r="D105" s="7" t="inlineStr">
        <is>
          <t>Is the original instrument a conveyance on sale?</t>
        </is>
      </c>
      <c r="E105" s="7" t="inlineStr">
        <is>
          <t>Yes/No</t>
        </is>
      </c>
      <c r="F105" s="7" t="inlineStr">
        <is>
          <t>Yes / No</t>
        </is>
      </c>
      <c r="G105" s="7" t="inlineStr">
        <is>
          <t>System (from CNL-01)</t>
        </is>
      </c>
      <c r="H105" s="7" t="inlineStr">
        <is>
          <t>Calculation</t>
        </is>
      </c>
      <c r="I105" s="7" t="n">
        <v>1</v>
      </c>
      <c r="J105" s="7" t="inlineStr">
        <is>
          <t>14(a)</t>
        </is>
      </c>
    </row>
    <row r="106">
      <c r="A106" s="10" t="inlineStr">
        <is>
          <t>CNL-05</t>
        </is>
      </c>
      <c r="B106" s="7" t="inlineStr">
        <is>
          <t>Cancellation</t>
        </is>
      </c>
      <c r="C106" s="7" t="inlineStr">
        <is>
          <t>Original subjected to Sec 45-A determination</t>
        </is>
      </c>
      <c r="D106" s="7" t="inlineStr">
        <is>
          <t>Was market value of the original instrument determined under Sec 45-A? If yes, duty so determined</t>
        </is>
      </c>
      <c r="E106" s="7" t="inlineStr">
        <is>
          <t>Yes/No + Amount</t>
        </is>
      </c>
      <c r="F106" s="7" t="inlineStr">
        <is>
          <t>Yes / No</t>
        </is>
      </c>
      <c r="G106" s="7" t="inlineStr">
        <is>
          <t>System</t>
        </is>
      </c>
      <c r="H106" s="7" t="inlineStr">
        <is>
          <t>Calculation</t>
        </is>
      </c>
      <c r="I106" s="7" t="n">
        <v>1</v>
      </c>
      <c r="J106" s="7" t="inlineStr">
        <is>
          <t>14(a)</t>
        </is>
      </c>
    </row>
    <row r="107">
      <c r="A107" s="8" t="inlineStr">
        <is>
          <t>MSC-01</t>
        </is>
      </c>
      <c r="B107" s="9" t="inlineStr">
        <is>
          <t>Miscellaneous</t>
        </is>
      </c>
      <c r="C107" s="9" t="inlineStr">
        <is>
          <t>Amount / value secured (bonds, appraisement)</t>
        </is>
      </c>
      <c r="D107" s="7" t="inlineStr">
        <is>
          <t>Amount or value secured / appraised (Rs.)</t>
        </is>
      </c>
      <c r="E107" s="7" t="inlineStr">
        <is>
          <t>Amount</t>
        </is>
      </c>
      <c r="F107" s="7" t="inlineStr">
        <is>
          <t>&gt;= 0</t>
        </is>
      </c>
      <c r="G107" s="7" t="inlineStr">
        <is>
          <t>User</t>
        </is>
      </c>
      <c r="H107" s="7" t="inlineStr">
        <is>
          <t>Calculation</t>
        </is>
      </c>
      <c r="I107" s="7" t="n">
        <v>13</v>
      </c>
      <c r="J107" s="7" t="inlineStr">
        <is>
          <t>2(a), 2(b), 8(a), 8(b), 12(a), 12(b), 13, 23(a), 23(b), 29, 46, 47(a), 47(b)</t>
        </is>
      </c>
    </row>
    <row r="108">
      <c r="A108" s="10" t="inlineStr">
        <is>
          <t>MSC-02</t>
        </is>
      </c>
      <c r="B108" s="7" t="inlineStr">
        <is>
          <t>Miscellaneous</t>
        </is>
      </c>
      <c r="C108" s="7" t="inlineStr">
        <is>
          <t>Acknowledgement type &amp; debt amount</t>
        </is>
      </c>
      <c r="D108" s="7" t="inlineStr">
        <is>
          <t>Acknowledgement of: Debt (amount) / Receipt of letter, parcel, consignment by courier</t>
        </is>
      </c>
      <c r="E108" s="7" t="inlineStr">
        <is>
          <t>Dropdown + Amount</t>
        </is>
      </c>
      <c r="F108" s="7" t="inlineStr">
        <is>
          <t>Debt, Courier / consignment receipt</t>
        </is>
      </c>
      <c r="G108" s="7" t="inlineStr">
        <is>
          <t>User</t>
        </is>
      </c>
      <c r="H108" s="7" t="inlineStr">
        <is>
          <t>Identification</t>
        </is>
      </c>
      <c r="I108" s="7" t="n">
        <v>3</v>
      </c>
      <c r="J108" s="7" t="inlineStr">
        <is>
          <t>1(i)(a), 1(i)(b), 1(ii)</t>
        </is>
      </c>
    </row>
    <row r="109">
      <c r="A109" s="10" t="inlineStr">
        <is>
          <t>MSC-03</t>
        </is>
      </c>
      <c r="B109" s="7" t="inlineStr">
        <is>
          <t>Miscellaneous</t>
        </is>
      </c>
      <c r="C109" s="7" t="inlineStr">
        <is>
          <t>Affidavit purpose (exemption)</t>
        </is>
      </c>
      <c r="D109" s="7" t="inlineStr">
        <is>
          <t>Purpose of affidavit: enlistment in Armed Forces / filing in Court / receiving pension or charitable allowance / other</t>
        </is>
      </c>
      <c r="E109" s="7" t="inlineStr">
        <is>
          <t>Dropdown</t>
        </is>
      </c>
      <c r="F109" s="7" t="inlineStr">
        <is>
          <t>Armed forces enlistment, Court filing, Pension / charitable allowance, Other</t>
        </is>
      </c>
      <c r="G109" s="7" t="inlineStr">
        <is>
          <t>User</t>
        </is>
      </c>
      <c r="H109" s="7" t="inlineStr">
        <is>
          <t>Exemption / Adjustment</t>
        </is>
      </c>
      <c r="I109" s="7" t="n">
        <v>1</v>
      </c>
      <c r="J109" s="7" t="inlineStr">
        <is>
          <t>4</t>
        </is>
      </c>
    </row>
    <row r="110">
      <c r="A110" s="10" t="inlineStr">
        <is>
          <t>MSC-04</t>
        </is>
      </c>
      <c r="B110" s="7" t="inlineStr">
        <is>
          <t>Miscellaneous</t>
        </is>
      </c>
      <c r="C110" s="7" t="inlineStr">
        <is>
          <t>Appraisement exemption</t>
        </is>
      </c>
      <c r="D110" s="7" t="inlineStr">
        <is>
          <t>Is the appraisement only for information of one party (not obligatory), or appraisement of crops for rent?</t>
        </is>
      </c>
      <c r="E110" s="7" t="inlineStr">
        <is>
          <t>Yes/No</t>
        </is>
      </c>
      <c r="F110" s="7" t="inlineStr">
        <is>
          <t>Yes / No</t>
        </is>
      </c>
      <c r="G110" s="7" t="inlineStr">
        <is>
          <t>User</t>
        </is>
      </c>
      <c r="H110" s="7" t="inlineStr">
        <is>
          <t>Exemption / Adjustment</t>
        </is>
      </c>
      <c r="I110" s="7" t="n">
        <v>2</v>
      </c>
      <c r="J110" s="7" t="inlineStr">
        <is>
          <t>8(a), 8(b)</t>
        </is>
      </c>
    </row>
    <row r="111">
      <c r="A111" s="10" t="inlineStr">
        <is>
          <t>MSC-05</t>
        </is>
      </c>
      <c r="B111" s="7" t="inlineStr">
        <is>
          <t>Miscellaneous</t>
        </is>
      </c>
      <c r="C111" s="7" t="inlineStr">
        <is>
          <t>Apprenticed by public charity</t>
        </is>
      </c>
      <c r="D111" s="7" t="inlineStr">
        <is>
          <t>Is the apprentice placed by or at the charge of a public charity? (exempt)</t>
        </is>
      </c>
      <c r="E111" s="7" t="inlineStr">
        <is>
          <t>Yes/No</t>
        </is>
      </c>
      <c r="F111" s="7" t="inlineStr">
        <is>
          <t>Yes / No</t>
        </is>
      </c>
      <c r="G111" s="7" t="inlineStr">
        <is>
          <t>User</t>
        </is>
      </c>
      <c r="H111" s="7" t="inlineStr">
        <is>
          <t>Exemption / Adjustment</t>
        </is>
      </c>
      <c r="I111" s="7" t="n">
        <v>1</v>
      </c>
      <c r="J111" s="7" t="inlineStr">
        <is>
          <t>9</t>
        </is>
      </c>
    </row>
    <row r="112">
      <c r="A112" s="10" t="inlineStr">
        <is>
          <t>MSC-06</t>
        </is>
      </c>
      <c r="B112" s="7" t="inlineStr">
        <is>
          <t>Miscellaneous</t>
        </is>
      </c>
      <c r="C112" s="7" t="inlineStr">
        <is>
          <t>Award subject</t>
        </is>
      </c>
      <c r="D112" s="7" t="inlineStr">
        <is>
          <t>Is the property that is the subject of the award immovable or movable? Amount / value in the award</t>
        </is>
      </c>
      <c r="E112" s="7" t="inlineStr">
        <is>
          <t>Dropdown + Amount</t>
        </is>
      </c>
      <c r="F112" s="7" t="inlineStr">
        <is>
          <t>Immovable, Movable</t>
        </is>
      </c>
      <c r="G112" s="7" t="inlineStr">
        <is>
          <t>User</t>
        </is>
      </c>
      <c r="H112" s="7" t="inlineStr">
        <is>
          <t>Identification</t>
        </is>
      </c>
      <c r="I112" s="7" t="n">
        <v>4</v>
      </c>
      <c r="J112" s="7" t="inlineStr">
        <is>
          <t>11(a), 11(b)(i), 11(b)(ii), 11(b)(iii)</t>
        </is>
      </c>
    </row>
    <row r="113">
      <c r="A113" s="10" t="inlineStr">
        <is>
          <t>MSC-07</t>
        </is>
      </c>
      <c r="B113" s="7" t="inlineStr">
        <is>
          <t>Miscellaneous</t>
        </is>
      </c>
      <c r="C113" s="7" t="inlineStr">
        <is>
          <t>Purchase money (certificate of sale)</t>
        </is>
      </c>
      <c r="D113" s="7" t="inlineStr">
        <is>
          <t>Purchase money of the lot sold in public auction (Rs.)</t>
        </is>
      </c>
      <c r="E113" s="7" t="inlineStr">
        <is>
          <t>Amount</t>
        </is>
      </c>
      <c r="F113" s="7" t="inlineStr">
        <is>
          <t>&gt;= 0</t>
        </is>
      </c>
      <c r="G113" s="7" t="inlineStr">
        <is>
          <t>User</t>
        </is>
      </c>
      <c r="H113" s="7" t="inlineStr">
        <is>
          <t>Calculation</t>
        </is>
      </c>
      <c r="I113" s="7" t="n">
        <v>3</v>
      </c>
      <c r="J113" s="7" t="inlineStr">
        <is>
          <t>15(a), 15(b), 15(c)</t>
        </is>
      </c>
    </row>
    <row r="114">
      <c r="A114" s="10" t="inlineStr">
        <is>
          <t>MSC-08</t>
        </is>
      </c>
      <c r="B114" s="7" t="inlineStr">
        <is>
          <t>Miscellaneous</t>
        </is>
      </c>
      <c r="C114" s="7" t="inlineStr">
        <is>
          <t>Original chargeable with duty (copy)</t>
        </is>
      </c>
      <c r="D114" s="7" t="inlineStr">
        <is>
          <t>Was the original document chargeable with stamp duty? Is the copy from birth / marriage / death registers or required by law for public record (exempt)?</t>
        </is>
      </c>
      <c r="E114" s="7" t="inlineStr">
        <is>
          <t>Yes/No + Dropdown</t>
        </is>
      </c>
      <c r="F114" s="7" t="inlineStr">
        <is>
          <t>Yes / No</t>
        </is>
      </c>
      <c r="G114" s="7" t="inlineStr">
        <is>
          <t>User</t>
        </is>
      </c>
      <c r="H114" s="7" t="inlineStr">
        <is>
          <t>Identification</t>
        </is>
      </c>
      <c r="I114" s="7" t="n">
        <v>2</v>
      </c>
      <c r="J114" s="7" t="inlineStr">
        <is>
          <t>21(i), 21(ii)</t>
        </is>
      </c>
    </row>
    <row r="115">
      <c r="A115" s="10" t="inlineStr">
        <is>
          <t>MSC-09</t>
        </is>
      </c>
      <c r="B115" s="7" t="inlineStr">
        <is>
          <t>Miscellaneous</t>
        </is>
      </c>
      <c r="C115" s="7" t="inlineStr">
        <is>
          <t>Duty paid on original (counterpart)</t>
        </is>
      </c>
      <c r="D115" s="7" t="inlineStr">
        <is>
          <t>Duty with which the original instrument is chargeable / was paid (Rs.); is it a counterpart of an exempt cultivator lease?</t>
        </is>
      </c>
      <c r="E115" s="7" t="inlineStr">
        <is>
          <t>Amount + Yes/No</t>
        </is>
      </c>
      <c r="F115" s="7" t="inlineStr">
        <is>
          <t>&gt;= 0</t>
        </is>
      </c>
      <c r="G115" s="7" t="inlineStr">
        <is>
          <t>User / System</t>
        </is>
      </c>
      <c r="H115" s="7" t="inlineStr">
        <is>
          <t>Identification</t>
        </is>
      </c>
      <c r="I115" s="7" t="n">
        <v>2</v>
      </c>
      <c r="J115" s="7" t="inlineStr">
        <is>
          <t>22(a), 22(b)</t>
        </is>
      </c>
    </row>
    <row r="116">
      <c r="A116" s="10" t="inlineStr">
        <is>
          <t>MSC-10</t>
        </is>
      </c>
      <c r="B116" s="7" t="inlineStr">
        <is>
          <t>Miscellaneous</t>
        </is>
      </c>
      <c r="C116" s="7" t="inlineStr">
        <is>
          <t>Goods exempt from customs duty</t>
        </is>
      </c>
      <c r="D116" s="7" t="inlineStr">
        <is>
          <t>Are the goods imported and exempt from customs duty? (delivery order exemption)</t>
        </is>
      </c>
      <c r="E116" s="7" t="inlineStr">
        <is>
          <t>Yes/No</t>
        </is>
      </c>
      <c r="F116" s="7" t="inlineStr">
        <is>
          <t>Yes / No</t>
        </is>
      </c>
      <c r="G116" s="7" t="inlineStr">
        <is>
          <t>User</t>
        </is>
      </c>
      <c r="H116" s="7" t="inlineStr">
        <is>
          <t>Exemption / Adjustment</t>
        </is>
      </c>
      <c r="I116" s="7" t="n">
        <v>1</v>
      </c>
      <c r="J116" s="7" t="inlineStr">
        <is>
          <t>24</t>
        </is>
      </c>
    </row>
    <row r="117">
      <c r="A117" s="10" t="inlineStr">
        <is>
          <t>MSC-11</t>
        </is>
      </c>
      <c r="B117" s="7" t="inlineStr">
        <is>
          <t>Miscellaneous</t>
        </is>
      </c>
      <c r="C117" s="7" t="inlineStr">
        <is>
          <t>Transfer type (Art 52)</t>
        </is>
      </c>
      <c r="D117" s="7" t="inlineStr">
        <is>
          <t>What is being transferred?</t>
        </is>
      </c>
      <c r="E117" s="7" t="inlineStr">
        <is>
          <t>Dropdown</t>
        </is>
      </c>
      <c r="F117" s="7" t="inlineStr">
        <is>
          <t>Debentures (marketable securities), Interest secured by bond / mortgage deed / insurance policy, Property under Sec 25 Administrator-General's Act 1963, Trust property</t>
        </is>
      </c>
      <c r="G117" s="7" t="inlineStr">
        <is>
          <t>User</t>
        </is>
      </c>
      <c r="H117" s="7" t="inlineStr">
        <is>
          <t>Identification</t>
        </is>
      </c>
      <c r="I117" s="7" t="n">
        <v>5</v>
      </c>
      <c r="J117" s="7" t="inlineStr">
        <is>
          <t>52(a), 52(b)(i), 52(b)(ii), 52(c), 52(d)</t>
        </is>
      </c>
    </row>
    <row r="118">
      <c r="A118" s="10" t="inlineStr">
        <is>
          <t>MSC-12</t>
        </is>
      </c>
      <c r="B118" s="7" t="inlineStr">
        <is>
          <t>Miscellaneous</t>
        </is>
      </c>
      <c r="C118" s="7" t="inlineStr">
        <is>
          <t>Duty on underlying bond / mortgage / policy</t>
        </is>
      </c>
      <c r="D118" s="7" t="inlineStr">
        <is>
          <t>Duty chargeable on the underlying bond / mortgage deed / policy (Rs.)</t>
        </is>
      </c>
      <c r="E118" s="7" t="inlineStr">
        <is>
          <t>Amount</t>
        </is>
      </c>
      <c r="F118" s="7" t="inlineStr">
        <is>
          <t>&gt;= 0</t>
        </is>
      </c>
      <c r="G118" s="7" t="inlineStr">
        <is>
          <t>User / System</t>
        </is>
      </c>
      <c r="H118" s="7" t="inlineStr">
        <is>
          <t>Identification</t>
        </is>
      </c>
      <c r="I118" s="7" t="n">
        <v>2</v>
      </c>
      <c r="J118" s="7" t="inlineStr">
        <is>
          <t>52(b)(i), 52(b)(ii)</t>
        </is>
      </c>
    </row>
    <row r="119">
      <c r="A119" s="10" t="inlineStr">
        <is>
          <t>MSC-13</t>
        </is>
      </c>
      <c r="B119" s="7" t="inlineStr">
        <is>
          <t>Miscellaneous</t>
        </is>
      </c>
      <c r="C119" s="7" t="inlineStr">
        <is>
          <t>Bond exemption category</t>
        </is>
      </c>
      <c r="D119" s="7" t="inlineStr">
        <is>
          <t>Is the bond / security bond executed for guaranteeing income of a charitable dispensary / public utility, under irrigation rules, under KLIL / KAL Acts, or by Govt officers / their sureties? (exempt)</t>
        </is>
      </c>
      <c r="E119" s="7" t="inlineStr">
        <is>
          <t>Dropdown</t>
        </is>
      </c>
      <c r="F119" s="7" t="inlineStr">
        <is>
          <t>None, Charitable guarantee, Irrigation rules, KLIL / KAL Acts, Govt officer</t>
        </is>
      </c>
      <c r="G119" s="7" t="inlineStr">
        <is>
          <t>User</t>
        </is>
      </c>
      <c r="H119" s="7" t="inlineStr">
        <is>
          <t>Exemption / Adjustment</t>
        </is>
      </c>
      <c r="I119" s="7" t="n">
        <v>4</v>
      </c>
      <c r="J119" s="7" t="inlineStr">
        <is>
          <t>12(a), 12(b), 47(a), 47(b)</t>
        </is>
      </c>
    </row>
    <row r="120">
      <c r="A120" s="10" t="inlineStr">
        <is>
          <t>MSC-14</t>
        </is>
      </c>
      <c r="B120" s="7" t="inlineStr">
        <is>
          <t>Miscellaneous</t>
        </is>
      </c>
      <c r="C120" s="7" t="inlineStr">
        <is>
          <t>Bond sub-type</t>
        </is>
      </c>
      <c r="D120" s="7" t="inlineStr">
        <is>
          <t>Customs bond or Excise bond</t>
        </is>
      </c>
      <c r="E120" s="7" t="inlineStr">
        <is>
          <t>Dropdown</t>
        </is>
      </c>
      <c r="F120" s="7" t="inlineStr">
        <is>
          <t>Customs, Excise</t>
        </is>
      </c>
      <c r="G120" s="7" t="inlineStr">
        <is>
          <t>User</t>
        </is>
      </c>
      <c r="H120" s="7" t="inlineStr">
        <is>
          <t>Identification</t>
        </is>
      </c>
      <c r="I120" s="7" t="n">
        <v>2</v>
      </c>
      <c r="J120" s="7" t="inlineStr">
        <is>
          <t>23(a), 23(b)</t>
        </is>
      </c>
    </row>
  </sheetData>
  <autoFilter ref="A1:J12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9" customWidth="1" min="3" max="3"/>
    <col width="28" customWidth="1" min="4" max="4"/>
    <col width="26" customWidth="1" min="5" max="5"/>
    <col width="38" customWidth="1" min="6" max="6"/>
    <col width="55" customWidth="1" min="7" max="7"/>
    <col width="26" customWidth="1" min="8" max="8"/>
    <col width="30" customWidth="1" min="9" max="9"/>
    <col width="22" customWidth="1" min="10" max="10"/>
    <col width="14" customWidth="1" min="11" max="11"/>
    <col width="55" customWidth="1" min="12" max="12"/>
    <col width="12" customWidth="1" min="13" max="13"/>
    <col width="18" customWidth="1" min="14" max="14"/>
    <col width="50" customWidth="1" min="15" max="15"/>
    <col width="40" customWidth="1" min="16" max="16"/>
    <col width="10" customWidth="1" min="17" max="17"/>
  </cols>
  <sheetData>
    <row r="1" ht="32" customHeight="1">
      <c r="A1" s="6" t="inlineStr">
        <is>
          <t>Rule / Article ref</t>
        </is>
      </c>
      <c r="B1" s="6" t="inlineStr">
        <is>
          <t>Article</t>
        </is>
      </c>
      <c r="C1" s="6" t="inlineStr">
        <is>
          <t>Nature code</t>
        </is>
      </c>
      <c r="D1" s="6" t="inlineStr">
        <is>
          <t>Nature of document</t>
        </is>
      </c>
      <c r="E1" s="6" t="inlineStr">
        <is>
          <t>Transaction intent</t>
        </is>
      </c>
      <c r="F1" s="6" t="inlineStr">
        <is>
          <t>Instrument (Schedule description)</t>
        </is>
      </c>
      <c r="G1" s="6" t="inlineStr">
        <is>
          <t>Identification conditions (system logic)</t>
        </is>
      </c>
      <c r="H1" s="6" t="inlineStr">
        <is>
          <t>Identification inputs</t>
        </is>
      </c>
      <c r="I1" s="6" t="inlineStr">
        <is>
          <t>Calculation inputs</t>
        </is>
      </c>
      <c r="J1" s="6" t="inlineStr">
        <is>
          <t>Exemption / adjustment inputs</t>
        </is>
      </c>
      <c r="K1" s="6" t="inlineStr">
        <is>
          <t>Duty basis</t>
        </is>
      </c>
      <c r="L1" s="6" t="inlineStr">
        <is>
          <t>Proper stamp duty (Schedule)</t>
        </is>
      </c>
      <c r="M1" s="6" t="inlineStr">
        <is>
          <t>Minimum</t>
        </is>
      </c>
      <c r="N1" s="6" t="inlineStr">
        <is>
          <t>Maximum</t>
        </is>
      </c>
      <c r="O1" s="6" t="inlineStr">
        <is>
          <t>Provisos / adjustments</t>
        </is>
      </c>
      <c r="P1" s="6" t="inlineStr">
        <is>
          <t>Exemptions</t>
        </is>
      </c>
      <c r="Q1" s="6" t="inlineStr">
        <is>
          <t>Sec 45-A MV check</t>
        </is>
      </c>
    </row>
    <row r="2">
      <c r="A2" s="10" t="inlineStr">
        <is>
          <t>1(i)(a)</t>
        </is>
      </c>
      <c r="B2" s="7" t="inlineStr">
        <is>
          <t>1</t>
        </is>
      </c>
      <c r="C2" s="7" t="inlineStr">
        <is>
          <t>DN-01</t>
        </is>
      </c>
      <c r="D2" s="7" t="inlineStr">
        <is>
          <t>Acknowledgement</t>
        </is>
      </c>
      <c r="E2" s="7" t="inlineStr">
        <is>
          <t>Declarations, certificates, copies and notarial instruments</t>
        </is>
      </c>
      <c r="F2" s="7" t="inlineStr">
        <is>
          <t>Acknowledgement of debt</t>
        </is>
      </c>
      <c r="G2" s="7" t="inlineStr">
        <is>
          <t>Acknowledgement of debt AND debt amount &gt; Rs.100 and &lt;= Rs.5,000</t>
        </is>
      </c>
      <c r="H2" s="7" t="inlineStr">
        <is>
          <t>MSC-02</t>
        </is>
      </c>
      <c r="I2" s="7" t="inlineStr">
        <is>
          <t>MSC-02</t>
        </is>
      </c>
      <c r="J2" s="7" t="inlineStr"/>
      <c r="K2" s="7" t="inlineStr">
        <is>
          <t>Fixed</t>
        </is>
      </c>
      <c r="L2" s="7" t="inlineStr">
        <is>
          <t>Rs. 2</t>
        </is>
      </c>
      <c r="M2" s="7" t="inlineStr"/>
      <c r="N2" s="7" t="inlineStr"/>
      <c r="O2" s="7" t="inlineStr">
        <is>
          <t>Debt &lt;= Rs.100: not chargeable</t>
        </is>
      </c>
      <c r="P2" s="7" t="inlineStr"/>
      <c r="Q2" s="7" t="inlineStr">
        <is>
          <t>No</t>
        </is>
      </c>
    </row>
    <row r="3">
      <c r="A3" s="10" t="inlineStr">
        <is>
          <t>1(i)(b)</t>
        </is>
      </c>
      <c r="B3" s="7" t="inlineStr">
        <is>
          <t>1</t>
        </is>
      </c>
      <c r="C3" s="7" t="inlineStr">
        <is>
          <t>DN-01</t>
        </is>
      </c>
      <c r="D3" s="7" t="inlineStr">
        <is>
          <t>Acknowledgement</t>
        </is>
      </c>
      <c r="E3" s="7" t="inlineStr">
        <is>
          <t>Declarations, certificates, copies and notarial instruments</t>
        </is>
      </c>
      <c r="F3" s="7" t="inlineStr">
        <is>
          <t>Acknowledgement of debt</t>
        </is>
      </c>
      <c r="G3" s="7" t="inlineStr">
        <is>
          <t>Acknowledgement of debt AND debt amount &gt; Rs.5,000</t>
        </is>
      </c>
      <c r="H3" s="7" t="inlineStr">
        <is>
          <t>MSC-02</t>
        </is>
      </c>
      <c r="I3" s="7" t="inlineStr">
        <is>
          <t>MSC-02</t>
        </is>
      </c>
      <c r="J3" s="7" t="inlineStr"/>
      <c r="K3" s="7" t="inlineStr">
        <is>
          <t>Slab</t>
        </is>
      </c>
      <c r="L3" s="7" t="inlineStr">
        <is>
          <t>Rs. 2 + Rs. 2 for every Rs. 1,000 or part thereof</t>
        </is>
      </c>
      <c r="M3" s="7" t="inlineStr"/>
      <c r="N3" s="7" t="inlineStr">
        <is>
          <t>Rs. 1,000</t>
        </is>
      </c>
      <c r="O3" s="7" t="inlineStr"/>
      <c r="P3" s="7" t="inlineStr"/>
      <c r="Q3" s="7" t="inlineStr">
        <is>
          <t>No</t>
        </is>
      </c>
    </row>
    <row r="4">
      <c r="A4" s="10" t="inlineStr">
        <is>
          <t>1(ii)</t>
        </is>
      </c>
      <c r="B4" s="7" t="inlineStr">
        <is>
          <t>1</t>
        </is>
      </c>
      <c r="C4" s="7" t="inlineStr">
        <is>
          <t>DN-01</t>
        </is>
      </c>
      <c r="D4" s="7" t="inlineStr">
        <is>
          <t>Acknowledgement</t>
        </is>
      </c>
      <c r="E4" s="7" t="inlineStr">
        <is>
          <t>Declarations, certificates, copies and notarial instruments</t>
        </is>
      </c>
      <c r="F4" s="7" t="inlineStr">
        <is>
          <t>Acknowledgement of receipt of letter / parcel / consignment</t>
        </is>
      </c>
      <c r="G4" s="7" t="inlineStr">
        <is>
          <t>Acknowledgement given by a person / courier company to the sender of a letter, parcel, consignment</t>
        </is>
      </c>
      <c r="H4" s="7" t="inlineStr">
        <is>
          <t>MSC-02</t>
        </is>
      </c>
      <c r="I4" s="7" t="inlineStr"/>
      <c r="J4" s="7" t="inlineStr"/>
      <c r="K4" s="7" t="inlineStr">
        <is>
          <t>Fixed</t>
        </is>
      </c>
      <c r="L4" s="7" t="inlineStr">
        <is>
          <t>As per Schedule (rate not legible in source copy - confirm with Department)</t>
        </is>
      </c>
      <c r="M4" s="7" t="inlineStr"/>
      <c r="N4" s="7" t="inlineStr"/>
      <c r="O4" s="7" t="inlineStr"/>
      <c r="P4" s="7" t="inlineStr"/>
      <c r="Q4" s="7" t="inlineStr">
        <is>
          <t>No</t>
        </is>
      </c>
    </row>
    <row r="5">
      <c r="A5" s="10" t="inlineStr">
        <is>
          <t>2(a)</t>
        </is>
      </c>
      <c r="B5" s="7" t="inlineStr">
        <is>
          <t>2</t>
        </is>
      </c>
      <c r="C5" s="7" t="inlineStr">
        <is>
          <t>DN-02</t>
        </is>
      </c>
      <c r="D5" s="7" t="inlineStr">
        <is>
          <t>Administration Bond</t>
        </is>
      </c>
      <c r="E5" s="7" t="inlineStr">
        <is>
          <t>Bonds and guarantees</t>
        </is>
      </c>
      <c r="F5" s="7" t="inlineStr">
        <is>
          <t>Administration Bond</t>
        </is>
      </c>
      <c r="G5" s="7" t="inlineStr">
        <is>
          <t>Amount &lt;= Rs.1,000</t>
        </is>
      </c>
      <c r="H5" s="7" t="inlineStr">
        <is>
          <t>MSC-01</t>
        </is>
      </c>
      <c r="I5" s="7" t="inlineStr">
        <is>
          <t>MSC-01</t>
        </is>
      </c>
      <c r="J5" s="7" t="inlineStr"/>
      <c r="K5" s="7" t="inlineStr">
        <is>
          <t>Same as other Article</t>
        </is>
      </c>
      <c r="L5" s="7" t="inlineStr">
        <is>
          <t>Same duty as Bond (Art 12) for such amount</t>
        </is>
      </c>
      <c r="M5" s="7" t="inlineStr"/>
      <c r="N5" s="7" t="inlineStr"/>
      <c r="O5" s="7" t="inlineStr"/>
      <c r="P5" s="7" t="inlineStr"/>
      <c r="Q5" s="7" t="inlineStr">
        <is>
          <t>No</t>
        </is>
      </c>
    </row>
    <row r="6">
      <c r="A6" s="10" t="inlineStr">
        <is>
          <t>2(b)</t>
        </is>
      </c>
      <c r="B6" s="7" t="inlineStr">
        <is>
          <t>2</t>
        </is>
      </c>
      <c r="C6" s="7" t="inlineStr">
        <is>
          <t>DN-02</t>
        </is>
      </c>
      <c r="D6" s="7" t="inlineStr">
        <is>
          <t>Administration Bond</t>
        </is>
      </c>
      <c r="E6" s="7" t="inlineStr">
        <is>
          <t>Bonds and guarantees</t>
        </is>
      </c>
      <c r="F6" s="7" t="inlineStr">
        <is>
          <t>Administration Bond</t>
        </is>
      </c>
      <c r="G6" s="7" t="inlineStr">
        <is>
          <t>Amount &gt; Rs.1,000</t>
        </is>
      </c>
      <c r="H6" s="7" t="inlineStr">
        <is>
          <t>MSC-01</t>
        </is>
      </c>
      <c r="I6" s="7" t="inlineStr"/>
      <c r="J6" s="7" t="inlineStr"/>
      <c r="K6" s="7" t="inlineStr">
        <is>
          <t>Fixed</t>
        </is>
      </c>
      <c r="L6" s="7" t="inlineStr">
        <is>
          <t>Rs. 100</t>
        </is>
      </c>
      <c r="M6" s="7" t="inlineStr"/>
      <c r="N6" s="7" t="inlineStr"/>
      <c r="O6" s="7" t="inlineStr"/>
      <c r="P6" s="7" t="inlineStr"/>
      <c r="Q6" s="7" t="inlineStr">
        <is>
          <t>No</t>
        </is>
      </c>
    </row>
    <row r="7">
      <c r="A7" s="10" t="inlineStr">
        <is>
          <t>3</t>
        </is>
      </c>
      <c r="B7" s="7" t="inlineStr">
        <is>
          <t>3</t>
        </is>
      </c>
      <c r="C7" s="7" t="inlineStr">
        <is>
          <t>DN-03</t>
        </is>
      </c>
      <c r="D7" s="7" t="inlineStr">
        <is>
          <t>Adoption Deed / Authority to Adopt</t>
        </is>
      </c>
      <c r="E7" s="7" t="inlineStr">
        <is>
          <t>Personal / family status (adoption, divorce)</t>
        </is>
      </c>
      <c r="F7" s="7" t="inlineStr">
        <is>
          <t>Adoption deed / authority to adopt</t>
        </is>
      </c>
      <c r="G7" s="7" t="inlineStr">
        <is>
          <t>Instrument (other than a will) recording adoption or conferring authority to adopt</t>
        </is>
      </c>
      <c r="H7" s="7" t="inlineStr"/>
      <c r="I7" s="7" t="inlineStr"/>
      <c r="J7" s="7" t="inlineStr"/>
      <c r="K7" s="7" t="inlineStr">
        <is>
          <t>Fixed</t>
        </is>
      </c>
      <c r="L7" s="7" t="inlineStr">
        <is>
          <t>Rs. 500</t>
        </is>
      </c>
      <c r="M7" s="7" t="inlineStr"/>
      <c r="N7" s="7" t="inlineStr"/>
      <c r="O7" s="7" t="inlineStr"/>
      <c r="P7" s="7" t="inlineStr"/>
      <c r="Q7" s="7" t="inlineStr">
        <is>
          <t>No</t>
        </is>
      </c>
    </row>
    <row r="8">
      <c r="A8" s="10" t="inlineStr">
        <is>
          <t>4</t>
        </is>
      </c>
      <c r="B8" s="7" t="inlineStr">
        <is>
          <t>4</t>
        </is>
      </c>
      <c r="C8" s="7" t="inlineStr">
        <is>
          <t>DN-04</t>
        </is>
      </c>
      <c r="D8" s="7" t="inlineStr">
        <is>
          <t>Affidavit / Declaration</t>
        </is>
      </c>
      <c r="E8" s="7" t="inlineStr">
        <is>
          <t>Declarations, certificates, copies and notarial instruments</t>
        </is>
      </c>
      <c r="F8" s="7" t="inlineStr">
        <is>
          <t>Affidavit / affirmation / declaration</t>
        </is>
      </c>
      <c r="G8" s="7" t="inlineStr">
        <is>
          <t>Any affidavit not exempt</t>
        </is>
      </c>
      <c r="H8" s="7" t="inlineStr">
        <is>
          <t>MSC-03</t>
        </is>
      </c>
      <c r="I8" s="7" t="inlineStr"/>
      <c r="J8" s="7" t="inlineStr">
        <is>
          <t>GEN-13</t>
        </is>
      </c>
      <c r="K8" s="7" t="inlineStr">
        <is>
          <t>Fixed</t>
        </is>
      </c>
      <c r="L8" s="7" t="inlineStr">
        <is>
          <t>Rs. 20</t>
        </is>
      </c>
      <c r="M8" s="7" t="inlineStr"/>
      <c r="N8" s="7" t="inlineStr"/>
      <c r="O8" s="7" t="inlineStr"/>
      <c r="P8" s="7" t="inlineStr">
        <is>
          <t>Armed Forces enlistment; filing / use in any Court; to receive pension or charitable allowance</t>
        </is>
      </c>
      <c r="Q8" s="7" t="inlineStr">
        <is>
          <t>No</t>
        </is>
      </c>
    </row>
    <row r="9">
      <c r="A9" s="10" t="inlineStr">
        <is>
          <t>5(a)</t>
        </is>
      </c>
      <c r="B9" s="7" t="inlineStr">
        <is>
          <t>5</t>
        </is>
      </c>
      <c r="C9" s="7" t="inlineStr">
        <is>
          <t>DN-05</t>
        </is>
      </c>
      <c r="D9" s="7" t="inlineStr">
        <is>
          <t>Agreement / Memorandum of Agreement</t>
        </is>
      </c>
      <c r="E9" s="7" t="inlineStr">
        <is>
          <t>Agreement / contract</t>
        </is>
      </c>
      <c r="F9" s="7" t="inlineStr">
        <is>
          <t>Agreement - sale of bill of exchange</t>
        </is>
      </c>
      <c r="G9" s="7" t="inlineStr">
        <is>
          <t>AGR-01 = AS-01</t>
        </is>
      </c>
      <c r="H9" s="7" t="inlineStr">
        <is>
          <t>AGR-01</t>
        </is>
      </c>
      <c r="I9" s="7" t="inlineStr">
        <is>
          <t>AGR-08</t>
        </is>
      </c>
      <c r="J9" s="7" t="inlineStr"/>
      <c r="K9" s="7" t="inlineStr">
        <is>
          <t>Ad valorem</t>
        </is>
      </c>
      <c r="L9" s="7" t="inlineStr">
        <is>
          <t>Re. 1 for every Rs. 10,000 or part thereof</t>
        </is>
      </c>
      <c r="M9" s="7" t="inlineStr"/>
      <c r="N9" s="7" t="inlineStr"/>
      <c r="O9" s="7" t="inlineStr"/>
      <c r="P9" s="7" t="inlineStr"/>
      <c r="Q9" s="7" t="inlineStr">
        <is>
          <t>No</t>
        </is>
      </c>
    </row>
    <row r="10">
      <c r="A10" s="10" t="inlineStr">
        <is>
          <t>5(b)</t>
        </is>
      </c>
      <c r="B10" s="7" t="inlineStr">
        <is>
          <t>5</t>
        </is>
      </c>
      <c r="C10" s="7" t="inlineStr">
        <is>
          <t>DN-05</t>
        </is>
      </c>
      <c r="D10" s="7" t="inlineStr">
        <is>
          <t>Agreement / Memorandum of Agreement</t>
        </is>
      </c>
      <c r="E10" s="7" t="inlineStr">
        <is>
          <t>Agreement / contract</t>
        </is>
      </c>
      <c r="F10" s="7" t="inlineStr">
        <is>
          <t>Agreement - purchase / sale of Government security</t>
        </is>
      </c>
      <c r="G10" s="7" t="inlineStr">
        <is>
          <t>AGR-01 = AS-02</t>
        </is>
      </c>
      <c r="H10" s="7" t="inlineStr">
        <is>
          <t>AGR-01</t>
        </is>
      </c>
      <c r="I10" s="7" t="inlineStr">
        <is>
          <t>AGR-08</t>
        </is>
      </c>
      <c r="J10" s="7" t="inlineStr"/>
      <c r="K10" s="7" t="inlineStr">
        <is>
          <t>Ad valorem</t>
        </is>
      </c>
      <c r="L10" s="7" t="inlineStr">
        <is>
          <t>Re. 1 for every Rs. 10,000 or part of value of security</t>
        </is>
      </c>
      <c r="M10" s="7" t="inlineStr"/>
      <c r="N10" s="7" t="inlineStr">
        <is>
          <t>Rs. 1,000</t>
        </is>
      </c>
      <c r="O10" s="7" t="inlineStr"/>
      <c r="P10" s="7" t="inlineStr"/>
      <c r="Q10" s="7" t="inlineStr">
        <is>
          <t>No</t>
        </is>
      </c>
    </row>
    <row r="11">
      <c r="A11" s="10" t="inlineStr">
        <is>
          <t>5(c)(i)</t>
        </is>
      </c>
      <c r="B11" s="7" t="inlineStr">
        <is>
          <t>5</t>
        </is>
      </c>
      <c r="C11" s="7" t="inlineStr">
        <is>
          <t>DN-05</t>
        </is>
      </c>
      <c r="D11" s="7" t="inlineStr">
        <is>
          <t>Agreement / Memorandum of Agreement</t>
        </is>
      </c>
      <c r="E11" s="7" t="inlineStr">
        <is>
          <t>Agreement / contract</t>
        </is>
      </c>
      <c r="F11" s="7" t="inlineStr">
        <is>
          <t>Agreement - shares / marketable securities via recognised stock exchange member</t>
        </is>
      </c>
      <c r="G11" s="7" t="inlineStr">
        <is>
          <t>AGR-01 = AS-03 AND AGR-07 = Yes</t>
        </is>
      </c>
      <c r="H11" s="7" t="inlineStr">
        <is>
          <t>AGR-01, AGR-07</t>
        </is>
      </c>
      <c r="I11" s="7" t="inlineStr">
        <is>
          <t>AGR-08</t>
        </is>
      </c>
      <c r="J11" s="7" t="inlineStr"/>
      <c r="K11" s="7" t="inlineStr">
        <is>
          <t>Ad valorem</t>
        </is>
      </c>
      <c r="L11" s="7" t="inlineStr">
        <is>
          <t>Re. 1 for every Rs. 10,000 or part of value of security</t>
        </is>
      </c>
      <c r="M11" s="7" t="inlineStr"/>
      <c r="N11" s="7" t="inlineStr"/>
      <c r="O11" s="7" t="inlineStr"/>
      <c r="P11" s="7" t="inlineStr"/>
      <c r="Q11" s="7" t="inlineStr">
        <is>
          <t>No</t>
        </is>
      </c>
    </row>
    <row r="12">
      <c r="A12" s="10" t="inlineStr">
        <is>
          <t>5(c)(ii)</t>
        </is>
      </c>
      <c r="B12" s="7" t="inlineStr">
        <is>
          <t>5</t>
        </is>
      </c>
      <c r="C12" s="7" t="inlineStr">
        <is>
          <t>DN-05</t>
        </is>
      </c>
      <c r="D12" s="7" t="inlineStr">
        <is>
          <t>Agreement / Memorandum of Agreement</t>
        </is>
      </c>
      <c r="E12" s="7" t="inlineStr">
        <is>
          <t>Agreement / contract</t>
        </is>
      </c>
      <c r="F12" s="7" t="inlineStr">
        <is>
          <t>Agreement - shares / marketable securities (other case)</t>
        </is>
      </c>
      <c r="G12" s="7" t="inlineStr">
        <is>
          <t>AGR-01 = AS-03 AND AGR-07 = No</t>
        </is>
      </c>
      <c r="H12" s="7" t="inlineStr">
        <is>
          <t>AGR-01, AGR-07</t>
        </is>
      </c>
      <c r="I12" s="7" t="inlineStr">
        <is>
          <t>AGR-08</t>
        </is>
      </c>
      <c r="J12" s="7" t="inlineStr"/>
      <c r="K12" s="7" t="inlineStr">
        <is>
          <t>Ad valorem</t>
        </is>
      </c>
      <c r="L12" s="7" t="inlineStr">
        <is>
          <t>Re. 1 for every Rs. 10,000 or part of value of security</t>
        </is>
      </c>
      <c r="M12" s="7" t="inlineStr"/>
      <c r="N12" s="7" t="inlineStr"/>
      <c r="O12" s="7" t="inlineStr"/>
      <c r="P12" s="7" t="inlineStr"/>
      <c r="Q12" s="7" t="inlineStr">
        <is>
          <t>No</t>
        </is>
      </c>
    </row>
    <row r="13">
      <c r="A13" s="10" t="inlineStr">
        <is>
          <t>5(d)</t>
        </is>
      </c>
      <c r="B13" s="7" t="inlineStr">
        <is>
          <t>5</t>
        </is>
      </c>
      <c r="C13" s="7" t="inlineStr">
        <is>
          <t>DN-05</t>
        </is>
      </c>
      <c r="D13" s="7" t="inlineStr">
        <is>
          <t>Agreement / Memorandum of Agreement</t>
        </is>
      </c>
      <c r="E13" s="7" t="inlineStr">
        <is>
          <t>Agreement / contract</t>
        </is>
      </c>
      <c r="F13" s="7" t="inlineStr">
        <is>
          <t>Lease-cum-sale allotment by authority</t>
        </is>
      </c>
      <c r="G13" s="7" t="inlineStr">
        <is>
          <t>AGR-01 = AS-04 AND AGR-04 is a listed authority (BDA, CITB Mysore, KHB, Improvement Board, HBCS, KIADB, KSSIDC, KSIIDC, KEONICS, APMC, Municipal Corp, CMC/TMC/TP, UDA, GP/TP/ZP, notified)</t>
        </is>
      </c>
      <c r="H13" s="7" t="inlineStr">
        <is>
          <t>AGR-01, AGR-04</t>
        </is>
      </c>
      <c r="I13" s="7" t="inlineStr">
        <is>
          <t>AGR-05, AGR-06</t>
        </is>
      </c>
      <c r="J13" s="7" t="inlineStr"/>
      <c r="K13" s="7" t="inlineStr">
        <is>
          <t>Same as other Article</t>
        </is>
      </c>
      <c r="L13" s="7" t="inlineStr">
        <is>
          <t>Same as Conveyance (Art 20) on market value = security deposit + average annual rent</t>
        </is>
      </c>
      <c r="M13" s="7" t="inlineStr"/>
      <c r="N13" s="7" t="inlineStr"/>
      <c r="O13" s="7" t="inlineStr">
        <is>
          <t>On later conveyance, 20(1) 2nd proviso: duty not to exceed Rs.10 or difference, whichever greater; HBCS lease-cum-sale before 31-03-2001: conveyance on MV as on date of LCS agreement</t>
        </is>
      </c>
      <c r="P13" s="7" t="inlineStr"/>
      <c r="Q13" s="7" t="inlineStr">
        <is>
          <t>No</t>
        </is>
      </c>
    </row>
    <row r="14">
      <c r="A14" s="10" t="inlineStr">
        <is>
          <t>5(da)</t>
        </is>
      </c>
      <c r="B14" s="7" t="inlineStr">
        <is>
          <t>5</t>
        </is>
      </c>
      <c r="C14" s="7" t="inlineStr">
        <is>
          <t>DN-05</t>
        </is>
      </c>
      <c r="D14" s="7" t="inlineStr">
        <is>
          <t>Agreement / Memorandum of Agreement</t>
        </is>
      </c>
      <c r="E14" s="7" t="inlineStr">
        <is>
          <t>Agreement / contract</t>
        </is>
      </c>
      <c r="F14" s="7" t="inlineStr">
        <is>
          <t>Lease-cum-sale of Flat / Apartment by BDA / KHB</t>
        </is>
      </c>
      <c r="G14" s="7" t="inlineStr">
        <is>
          <t>AGR-01 = AS-05 AND AGR-04 in (BDA, KHB) AND PRP-06 = Yes</t>
        </is>
      </c>
      <c r="H14" s="7" t="inlineStr">
        <is>
          <t>AGR-01, AGR-04, PRP-06</t>
        </is>
      </c>
      <c r="I14" s="7" t="inlineStr">
        <is>
          <t>AGR-05, AGR-06</t>
        </is>
      </c>
      <c r="J14" s="7" t="inlineStr"/>
      <c r="K14" s="7" t="inlineStr">
        <is>
          <t>Same as other Article</t>
        </is>
      </c>
      <c r="L14" s="7" t="inlineStr">
        <is>
          <t>As Conveyance 20(3) on security deposit + average annual rent</t>
        </is>
      </c>
      <c r="M14" s="7" t="inlineStr"/>
      <c r="N14" s="7" t="inlineStr"/>
      <c r="O14" s="7" t="inlineStr">
        <is>
          <t>On later conveyance under 20(3): not to exceed Rs.50 or difference, whichever greater</t>
        </is>
      </c>
      <c r="P14" s="7" t="inlineStr"/>
      <c r="Q14" s="7" t="inlineStr">
        <is>
          <t>No</t>
        </is>
      </c>
    </row>
    <row r="15">
      <c r="A15" s="10" t="inlineStr">
        <is>
          <t>5(e)(i)</t>
        </is>
      </c>
      <c r="B15" s="7" t="inlineStr">
        <is>
          <t>5</t>
        </is>
      </c>
      <c r="C15" s="7" t="inlineStr">
        <is>
          <t>DN-05</t>
        </is>
      </c>
      <c r="D15" s="7" t="inlineStr">
        <is>
          <t>Agreement / Memorandum of Agreement</t>
        </is>
      </c>
      <c r="E15" s="7" t="inlineStr">
        <is>
          <t>Agreement / contract</t>
        </is>
      </c>
      <c r="F15" s="7" t="inlineStr">
        <is>
          <t>Agreement to sell immovable property - with possession</t>
        </is>
      </c>
      <c r="G15" s="7" t="inlineStr">
        <is>
          <t>AGR-01 = AS-06 AND (AGR-02 = Yes OR AGR-03 = Yes)</t>
        </is>
      </c>
      <c r="H15" s="7" t="inlineStr">
        <is>
          <t>AGR-01, AGR-02, AGR-03</t>
        </is>
      </c>
      <c r="I15" s="7" t="inlineStr">
        <is>
          <t>GEN-08, GEN-09</t>
        </is>
      </c>
      <c r="J15" s="7" t="inlineStr">
        <is>
          <t>GEN-12, POA-04</t>
        </is>
      </c>
      <c r="K15" s="7" t="inlineStr">
        <is>
          <t>Same as other Article</t>
        </is>
      </c>
      <c r="L15" s="7" t="inlineStr">
        <is>
          <t>Same as Conveyance 20(1) on market value of the property (5%)</t>
        </is>
      </c>
      <c r="M15" s="7" t="inlineStr"/>
      <c r="N15" s="7" t="inlineStr"/>
      <c r="O15" s="7" t="inlineStr">
        <is>
          <t>Duty adjustable against later conveyance between same parties (Expl. II); duty on POA 41(e)/(eb) adjustable; cancellation deed of such agreement capped at Rs.500 (AGR-15)</t>
        </is>
      </c>
      <c r="P15" s="7" t="inlineStr"/>
      <c r="Q15" s="11" t="inlineStr">
        <is>
          <t>Yes</t>
        </is>
      </c>
    </row>
    <row r="16">
      <c r="A16" s="10" t="inlineStr">
        <is>
          <t>5(e)(ii)</t>
        </is>
      </c>
      <c r="B16" s="7" t="inlineStr">
        <is>
          <t>5</t>
        </is>
      </c>
      <c r="C16" s="7" t="inlineStr">
        <is>
          <t>DN-05</t>
        </is>
      </c>
      <c r="D16" s="7" t="inlineStr">
        <is>
          <t>Agreement / Memorandum of Agreement</t>
        </is>
      </c>
      <c r="E16" s="7" t="inlineStr">
        <is>
          <t>Agreement / contract</t>
        </is>
      </c>
      <c r="F16" s="7" t="inlineStr">
        <is>
          <t>Agreement to sell immovable property - without possession</t>
        </is>
      </c>
      <c r="G16" s="7" t="inlineStr">
        <is>
          <t>AGR-01 = AS-06 AND AGR-02 = No AND AGR-03 = No</t>
        </is>
      </c>
      <c r="H16" s="7" t="inlineStr">
        <is>
          <t>AGR-01, AGR-02, AGR-03</t>
        </is>
      </c>
      <c r="I16" s="7" t="inlineStr">
        <is>
          <t>GEN-08, GEN-09</t>
        </is>
      </c>
      <c r="J16" s="7" t="inlineStr">
        <is>
          <t>GEN-12</t>
        </is>
      </c>
      <c r="K16" s="7" t="inlineStr">
        <is>
          <t>Ad valorem</t>
        </is>
      </c>
      <c r="L16" s="7" t="inlineStr">
        <is>
          <t>10 paise per Rs.100 or part (0.1%) on market value equal to consideration</t>
        </is>
      </c>
      <c r="M16" s="7" t="inlineStr">
        <is>
          <t>Rs. 500</t>
        </is>
      </c>
      <c r="N16" s="7" t="inlineStr">
        <is>
          <t>Rs. 20,000</t>
        </is>
      </c>
      <c r="O16" s="7" t="inlineStr">
        <is>
          <t>Adjustable against later conveyance between same parties (Expl. II)</t>
        </is>
      </c>
      <c r="P16" s="7" t="inlineStr"/>
      <c r="Q16" s="7" t="inlineStr">
        <is>
          <t>No</t>
        </is>
      </c>
    </row>
    <row r="17">
      <c r="A17" s="10" t="inlineStr">
        <is>
          <t>5(f)</t>
        </is>
      </c>
      <c r="B17" s="7" t="inlineStr">
        <is>
          <t>5</t>
        </is>
      </c>
      <c r="C17" s="7" t="inlineStr">
        <is>
          <t>DN-05</t>
        </is>
      </c>
      <c r="D17" s="7" t="inlineStr">
        <is>
          <t>Agreement / Memorandum of Agreement</t>
        </is>
      </c>
      <c r="E17" s="7" t="inlineStr">
        <is>
          <t>Agreement / contract</t>
        </is>
      </c>
      <c r="F17" s="7" t="inlineStr">
        <is>
          <t>Joint Development / Construction Agreement</t>
        </is>
      </c>
      <c r="G17" s="7" t="inlineStr">
        <is>
          <t>AGR-01 = AS-07 (owner / lessee and developer; owner gives undivided share of land, developer gives built-up share)</t>
        </is>
      </c>
      <c r="H17" s="7" t="inlineStr">
        <is>
          <t>AGR-01</t>
        </is>
      </c>
      <c r="I17" s="7" t="inlineStr">
        <is>
          <t>AGR-11, AGR-12, GEN-08, AGR-13</t>
        </is>
      </c>
      <c r="J17" s="7" t="inlineStr">
        <is>
          <t>AGR-14</t>
        </is>
      </c>
      <c r="K17" s="7" t="inlineStr">
        <is>
          <t>Ad valorem</t>
        </is>
      </c>
      <c r="L17" s="7" t="inlineStr">
        <is>
          <t>2% on higher of: (a) MV of undivided share of land + consideration + money advanced; (b) MV of owner's share of constructed area + consideration + money advanced</t>
        </is>
      </c>
      <c r="M17" s="7" t="inlineStr"/>
      <c r="N17" s="7" t="inlineStr"/>
      <c r="O17" s="7" t="inlineStr">
        <is>
          <t>If 41(ea) POA already stamped between same parties &amp; property: max Rs.200 (AGR-14)</t>
        </is>
      </c>
      <c r="P17" s="7" t="inlineStr"/>
      <c r="Q17" s="11" t="inlineStr">
        <is>
          <t>Yes</t>
        </is>
      </c>
    </row>
    <row r="18">
      <c r="A18" s="10" t="inlineStr">
        <is>
          <t>5(g)(i)</t>
        </is>
      </c>
      <c r="B18" s="7" t="inlineStr">
        <is>
          <t>5</t>
        </is>
      </c>
      <c r="C18" s="7" t="inlineStr">
        <is>
          <t>DN-05</t>
        </is>
      </c>
      <c r="D18" s="7" t="inlineStr">
        <is>
          <t>Agreement / Memorandum of Agreement</t>
        </is>
      </c>
      <c r="E18" s="7" t="inlineStr">
        <is>
          <t>Agreement / contract</t>
        </is>
      </c>
      <c r="F18" s="7" t="inlineStr">
        <is>
          <t>Agreement to sell movable property - with possession</t>
        </is>
      </c>
      <c r="G18" s="7" t="inlineStr">
        <is>
          <t>AGR-01 = AS-08 AND AGR-02 = Yes</t>
        </is>
      </c>
      <c r="H18" s="7" t="inlineStr">
        <is>
          <t>AGR-01, AGR-02</t>
        </is>
      </c>
      <c r="I18" s="7" t="inlineStr">
        <is>
          <t>GEN-08, GEN-09</t>
        </is>
      </c>
      <c r="J18" s="7" t="inlineStr"/>
      <c r="K18" s="7" t="inlineStr">
        <is>
          <t>Ad valorem</t>
        </is>
      </c>
      <c r="L18" s="7" t="inlineStr">
        <is>
          <t>3% of consideration or market value, whichever higher</t>
        </is>
      </c>
      <c r="M18" s="7" t="inlineStr"/>
      <c r="N18" s="7" t="inlineStr"/>
      <c r="O18" s="7" t="inlineStr">
        <is>
          <t>Cancellation deed of such agreement: max Rs.500 (AGR-15)</t>
        </is>
      </c>
      <c r="P18" s="7" t="inlineStr"/>
      <c r="Q18" s="7" t="inlineStr">
        <is>
          <t>No</t>
        </is>
      </c>
    </row>
    <row r="19">
      <c r="A19" s="10" t="inlineStr">
        <is>
          <t>5(g)(ii)</t>
        </is>
      </c>
      <c r="B19" s="7" t="inlineStr">
        <is>
          <t>5</t>
        </is>
      </c>
      <c r="C19" s="7" t="inlineStr">
        <is>
          <t>DN-05</t>
        </is>
      </c>
      <c r="D19" s="7" t="inlineStr">
        <is>
          <t>Agreement / Memorandum of Agreement</t>
        </is>
      </c>
      <c r="E19" s="7" t="inlineStr">
        <is>
          <t>Agreement / contract</t>
        </is>
      </c>
      <c r="F19" s="7" t="inlineStr">
        <is>
          <t>Agreement to sell movable property - without possession</t>
        </is>
      </c>
      <c r="G19" s="7" t="inlineStr">
        <is>
          <t>AGR-01 = AS-08 AND AGR-02 = No</t>
        </is>
      </c>
      <c r="H19" s="7" t="inlineStr">
        <is>
          <t>AGR-01, AGR-02</t>
        </is>
      </c>
      <c r="I19" s="7" t="inlineStr">
        <is>
          <t>GEN-08</t>
        </is>
      </c>
      <c r="J19" s="7" t="inlineStr"/>
      <c r="K19" s="7" t="inlineStr">
        <is>
          <t>Ad valorem</t>
        </is>
      </c>
      <c r="L19" s="7" t="inlineStr">
        <is>
          <t>0.1% on market value equal to consideration</t>
        </is>
      </c>
      <c r="M19" s="7" t="inlineStr">
        <is>
          <t>Rs. 500</t>
        </is>
      </c>
      <c r="N19" s="7" t="inlineStr">
        <is>
          <t>Rs. 20,000</t>
        </is>
      </c>
      <c r="O19" s="7" t="inlineStr"/>
      <c r="P19" s="7" t="inlineStr"/>
      <c r="Q19" s="7" t="inlineStr">
        <is>
          <t>No</t>
        </is>
      </c>
    </row>
    <row r="20">
      <c r="A20" s="10" t="inlineStr">
        <is>
          <t>5(h)</t>
        </is>
      </c>
      <c r="B20" s="7" t="inlineStr">
        <is>
          <t>5</t>
        </is>
      </c>
      <c r="C20" s="7" t="inlineStr">
        <is>
          <t>DN-05</t>
        </is>
      </c>
      <c r="D20" s="7" t="inlineStr">
        <is>
          <t>Agreement / Memorandum of Agreement</t>
        </is>
      </c>
      <c r="E20" s="7" t="inlineStr">
        <is>
          <t>Agreement / contract</t>
        </is>
      </c>
      <c r="F20" s="7" t="inlineStr">
        <is>
          <t>Agreement relating to mortgage</t>
        </is>
      </c>
      <c r="G20" s="7" t="inlineStr">
        <is>
          <t>AGR-01 = AS-09</t>
        </is>
      </c>
      <c r="H20" s="7" t="inlineStr">
        <is>
          <t>AGR-01, LON-04</t>
        </is>
      </c>
      <c r="I20" s="7" t="inlineStr">
        <is>
          <t>LON-01</t>
        </is>
      </c>
      <c r="J20" s="7" t="inlineStr">
        <is>
          <t>GEN-12</t>
        </is>
      </c>
      <c r="K20" s="7" t="inlineStr">
        <is>
          <t>Same as other Article</t>
        </is>
      </c>
      <c r="L20" s="7" t="inlineStr">
        <is>
          <t>Same as Art 34(a) (possession) or 34(b) (no possession)</t>
        </is>
      </c>
      <c r="M20" s="7" t="inlineStr"/>
      <c r="N20" s="7" t="inlineStr"/>
      <c r="O20" s="7" t="inlineStr">
        <is>
          <t>Adjustable against later mortgage deed between same parties (Expl. II)</t>
        </is>
      </c>
      <c r="P20" s="7" t="inlineStr"/>
      <c r="Q20" s="7" t="inlineStr">
        <is>
          <t>No</t>
        </is>
      </c>
    </row>
    <row r="21">
      <c r="A21" s="10" t="inlineStr">
        <is>
          <t>5(i)</t>
        </is>
      </c>
      <c r="B21" s="7" t="inlineStr">
        <is>
          <t>5</t>
        </is>
      </c>
      <c r="C21" s="7" t="inlineStr">
        <is>
          <t>DN-05</t>
        </is>
      </c>
      <c r="D21" s="7" t="inlineStr">
        <is>
          <t>Agreement / Memorandum of Agreement</t>
        </is>
      </c>
      <c r="E21" s="7" t="inlineStr">
        <is>
          <t>Agreement / contract</t>
        </is>
      </c>
      <c r="F21" s="7" t="inlineStr">
        <is>
          <t>Depository Participant - client (Demat)</t>
        </is>
      </c>
      <c r="G21" s="7" t="inlineStr">
        <is>
          <t>AGR-01 = AS-10</t>
        </is>
      </c>
      <c r="H21" s="7" t="inlineStr">
        <is>
          <t>AGR-01</t>
        </is>
      </c>
      <c r="I21" s="7" t="inlineStr"/>
      <c r="J21" s="7" t="inlineStr"/>
      <c r="K21" s="7" t="inlineStr">
        <is>
          <t>Fixed</t>
        </is>
      </c>
      <c r="L21" s="7" t="inlineStr">
        <is>
          <t>Rs. 50</t>
        </is>
      </c>
      <c r="M21" s="7" t="inlineStr"/>
      <c r="N21" s="7" t="inlineStr"/>
      <c r="O21" s="7" t="inlineStr"/>
      <c r="P21" s="7" t="inlineStr"/>
      <c r="Q21" s="7" t="inlineStr">
        <is>
          <t>No</t>
        </is>
      </c>
    </row>
    <row r="22">
      <c r="A22" s="10" t="inlineStr">
        <is>
          <t>5(i-a)</t>
        </is>
      </c>
      <c r="B22" s="7" t="inlineStr">
        <is>
          <t>5</t>
        </is>
      </c>
      <c r="C22" s="7" t="inlineStr">
        <is>
          <t>DN-05</t>
        </is>
      </c>
      <c r="D22" s="7" t="inlineStr">
        <is>
          <t>Agreement / Memorandum of Agreement</t>
        </is>
      </c>
      <c r="E22" s="7" t="inlineStr">
        <is>
          <t>Agreement / contract</t>
        </is>
      </c>
      <c r="F22" s="7" t="inlineStr">
        <is>
          <t>Stock broker / sub-broker - client</t>
        </is>
      </c>
      <c r="G22" s="7" t="inlineStr">
        <is>
          <t>AGR-01 = AS-11</t>
        </is>
      </c>
      <c r="H22" s="7" t="inlineStr">
        <is>
          <t>AGR-01</t>
        </is>
      </c>
      <c r="I22" s="7" t="inlineStr"/>
      <c r="J22" s="7" t="inlineStr"/>
      <c r="K22" s="7" t="inlineStr">
        <is>
          <t>Fixed</t>
        </is>
      </c>
      <c r="L22" s="7" t="inlineStr">
        <is>
          <t>Rs. 50</t>
        </is>
      </c>
      <c r="M22" s="7" t="inlineStr"/>
      <c r="N22" s="7" t="inlineStr"/>
      <c r="O22" s="7" t="inlineStr"/>
      <c r="P22" s="7" t="inlineStr"/>
      <c r="Q22" s="7" t="inlineStr">
        <is>
          <t>No</t>
        </is>
      </c>
    </row>
    <row r="23">
      <c r="A23" s="10" t="inlineStr">
        <is>
          <t>5(i-b)</t>
        </is>
      </c>
      <c r="B23" s="7" t="inlineStr">
        <is>
          <t>5</t>
        </is>
      </c>
      <c r="C23" s="7" t="inlineStr">
        <is>
          <t>DN-05</t>
        </is>
      </c>
      <c r="D23" s="7" t="inlineStr">
        <is>
          <t>Agreement / Memorandum of Agreement</t>
        </is>
      </c>
      <c r="E23" s="7" t="inlineStr">
        <is>
          <t>Agreement / contract</t>
        </is>
      </c>
      <c r="F23" s="7" t="inlineStr">
        <is>
          <t>Advertisement / telecasting / broadcasting</t>
        </is>
      </c>
      <c r="G23" s="7" t="inlineStr">
        <is>
          <t>AGR-01 = AS-12</t>
        </is>
      </c>
      <c r="H23" s="7" t="inlineStr">
        <is>
          <t>AGR-01</t>
        </is>
      </c>
      <c r="I23" s="7" t="inlineStr">
        <is>
          <t>AGR-10</t>
        </is>
      </c>
      <c r="J23" s="7" t="inlineStr"/>
      <c r="K23" s="7" t="inlineStr">
        <is>
          <t>Ad valorem</t>
        </is>
      </c>
      <c r="L23" s="7" t="inlineStr">
        <is>
          <t>Re. 1 for every Rs. 1,000 or part of amount / consideration</t>
        </is>
      </c>
      <c r="M23" s="7" t="inlineStr">
        <is>
          <t>Rs. 200</t>
        </is>
      </c>
      <c r="N23" s="7" t="inlineStr"/>
      <c r="O23" s="7" t="inlineStr"/>
      <c r="P23" s="7" t="inlineStr"/>
      <c r="Q23" s="7" t="inlineStr">
        <is>
          <t>No</t>
        </is>
      </c>
    </row>
    <row r="24">
      <c r="A24" s="10" t="inlineStr">
        <is>
          <t>5(i-c)</t>
        </is>
      </c>
      <c r="B24" s="7" t="inlineStr">
        <is>
          <t>5</t>
        </is>
      </c>
      <c r="C24" s="7" t="inlineStr">
        <is>
          <t>DN-05</t>
        </is>
      </c>
      <c r="D24" s="7" t="inlineStr">
        <is>
          <t>Agreement / Memorandum of Agreement</t>
        </is>
      </c>
      <c r="E24" s="7" t="inlineStr">
        <is>
          <t>Agreement / contract</t>
        </is>
      </c>
      <c r="F24" s="7" t="inlineStr">
        <is>
          <t>Assignment / transfer of IPR (patent, copyright, trademark)</t>
        </is>
      </c>
      <c r="G24" s="7" t="inlineStr">
        <is>
          <t>AGR-01 = AS-13</t>
        </is>
      </c>
      <c r="H24" s="7" t="inlineStr">
        <is>
          <t>AGR-01</t>
        </is>
      </c>
      <c r="I24" s="7" t="inlineStr">
        <is>
          <t>AGR-10</t>
        </is>
      </c>
      <c r="J24" s="7" t="inlineStr"/>
      <c r="K24" s="7" t="inlineStr">
        <is>
          <t>Ad valorem</t>
        </is>
      </c>
      <c r="L24" s="7" t="inlineStr">
        <is>
          <t>Re. 1 for every Rs. 1,000 or part of amount / consideration</t>
        </is>
      </c>
      <c r="M24" s="7" t="inlineStr">
        <is>
          <t>Rs. 200</t>
        </is>
      </c>
      <c r="N24" s="7" t="inlineStr"/>
      <c r="O24" s="7" t="inlineStr"/>
      <c r="P24" s="7" t="inlineStr"/>
      <c r="Q24" s="7" t="inlineStr">
        <is>
          <t>No</t>
        </is>
      </c>
    </row>
    <row r="25">
      <c r="A25" s="10" t="inlineStr">
        <is>
          <t>5(i-d)(i)</t>
        </is>
      </c>
      <c r="B25" s="7" t="inlineStr">
        <is>
          <t>5</t>
        </is>
      </c>
      <c r="C25" s="7" t="inlineStr">
        <is>
          <t>DN-05</t>
        </is>
      </c>
      <c r="D25" s="7" t="inlineStr">
        <is>
          <t>Agreement / Memorandum of Agreement</t>
        </is>
      </c>
      <c r="E25" s="7" t="inlineStr">
        <is>
          <t>Agreement / contract</t>
        </is>
      </c>
      <c r="F25" s="7" t="inlineStr">
        <is>
          <t>Works contract - up to Rs.10 lakh</t>
        </is>
      </c>
      <c r="G25" s="7" t="inlineStr">
        <is>
          <t>AGR-01 = AS-14 AND AGR-10 &lt;= 10,00,000</t>
        </is>
      </c>
      <c r="H25" s="7" t="inlineStr">
        <is>
          <t>AGR-01, AGR-10</t>
        </is>
      </c>
      <c r="I25" s="7" t="inlineStr">
        <is>
          <t>AGR-10</t>
        </is>
      </c>
      <c r="J25" s="7" t="inlineStr"/>
      <c r="K25" s="7" t="inlineStr">
        <is>
          <t>Fixed</t>
        </is>
      </c>
      <c r="L25" s="7" t="inlineStr">
        <is>
          <t>Rs. 100</t>
        </is>
      </c>
      <c r="M25" s="7" t="inlineStr"/>
      <c r="N25" s="7" t="inlineStr"/>
      <c r="O25" s="7" t="inlineStr"/>
      <c r="P25" s="7" t="inlineStr"/>
      <c r="Q25" s="7" t="inlineStr">
        <is>
          <t>No</t>
        </is>
      </c>
    </row>
    <row r="26">
      <c r="A26" s="10" t="inlineStr">
        <is>
          <t>5(i-d)(ii)</t>
        </is>
      </c>
      <c r="B26" s="7" t="inlineStr">
        <is>
          <t>5</t>
        </is>
      </c>
      <c r="C26" s="7" t="inlineStr">
        <is>
          <t>DN-05</t>
        </is>
      </c>
      <c r="D26" s="7" t="inlineStr">
        <is>
          <t>Agreement / Memorandum of Agreement</t>
        </is>
      </c>
      <c r="E26" s="7" t="inlineStr">
        <is>
          <t>Agreement / contract</t>
        </is>
      </c>
      <c r="F26" s="7" t="inlineStr">
        <is>
          <t>Works contract - above Rs.10 lakh</t>
        </is>
      </c>
      <c r="G26" s="7" t="inlineStr">
        <is>
          <t>AGR-01 = AS-14 AND AGR-10 &gt; 10,00,000</t>
        </is>
      </c>
      <c r="H26" s="7" t="inlineStr">
        <is>
          <t>AGR-01, AGR-10</t>
        </is>
      </c>
      <c r="I26" s="7" t="inlineStr">
        <is>
          <t>AGR-10</t>
        </is>
      </c>
      <c r="J26" s="7" t="inlineStr"/>
      <c r="K26" s="7" t="inlineStr">
        <is>
          <t>Slab</t>
        </is>
      </c>
      <c r="L26" s="7" t="inlineStr">
        <is>
          <t>Rs. 100 + Rs. 100 for every Rs. 10 lakh or part in excess of Rs. 10 lakh</t>
        </is>
      </c>
      <c r="M26" s="7" t="inlineStr"/>
      <c r="N26" s="7" t="inlineStr">
        <is>
          <t>Rs. 5,00,000</t>
        </is>
      </c>
      <c r="O26" s="7" t="inlineStr"/>
      <c r="P26" s="7" t="inlineStr"/>
      <c r="Q26" s="7" t="inlineStr">
        <is>
          <t>No</t>
        </is>
      </c>
    </row>
    <row r="27">
      <c r="A27" s="10" t="inlineStr">
        <is>
          <t>5(i-e)(i)</t>
        </is>
      </c>
      <c r="B27" s="7" t="inlineStr">
        <is>
          <t>5</t>
        </is>
      </c>
      <c r="C27" s="7" t="inlineStr">
        <is>
          <t>DN-05</t>
        </is>
      </c>
      <c r="D27" s="7" t="inlineStr">
        <is>
          <t>Agreement / Memorandum of Agreement</t>
        </is>
      </c>
      <c r="E27" s="7" t="inlineStr">
        <is>
          <t>Agreement / contract</t>
        </is>
      </c>
      <c r="F27" s="7" t="inlineStr">
        <is>
          <t>Chit agreement - chit value up to Rs.1 lakh</t>
        </is>
      </c>
      <c r="G27" s="7" t="inlineStr">
        <is>
          <t>AGR-01 = AS-15 AND AGR-09 &lt;= 1,00,000</t>
        </is>
      </c>
      <c r="H27" s="7" t="inlineStr">
        <is>
          <t>AGR-01, AGR-09</t>
        </is>
      </c>
      <c r="I27" s="7" t="inlineStr">
        <is>
          <t>AGR-09</t>
        </is>
      </c>
      <c r="J27" s="7" t="inlineStr"/>
      <c r="K27" s="7" t="inlineStr">
        <is>
          <t>Fixed</t>
        </is>
      </c>
      <c r="L27" s="7" t="inlineStr">
        <is>
          <t>Rs. 100</t>
        </is>
      </c>
      <c r="M27" s="7" t="inlineStr"/>
      <c r="N27" s="7" t="inlineStr"/>
      <c r="O27" s="7" t="inlineStr"/>
      <c r="P27" s="7" t="inlineStr"/>
      <c r="Q27" s="7" t="inlineStr">
        <is>
          <t>No</t>
        </is>
      </c>
    </row>
    <row r="28">
      <c r="A28" s="10" t="inlineStr">
        <is>
          <t>5(i-e)(ii)</t>
        </is>
      </c>
      <c r="B28" s="7" t="inlineStr">
        <is>
          <t>5</t>
        </is>
      </c>
      <c r="C28" s="7" t="inlineStr">
        <is>
          <t>DN-05</t>
        </is>
      </c>
      <c r="D28" s="7" t="inlineStr">
        <is>
          <t>Agreement / Memorandum of Agreement</t>
        </is>
      </c>
      <c r="E28" s="7" t="inlineStr">
        <is>
          <t>Agreement / contract</t>
        </is>
      </c>
      <c r="F28" s="7" t="inlineStr">
        <is>
          <t>Chit agreement - chit value above Rs.1 lakh</t>
        </is>
      </c>
      <c r="G28" s="7" t="inlineStr">
        <is>
          <t>AGR-01 = AS-15 AND AGR-09 &gt; 1,00,000</t>
        </is>
      </c>
      <c r="H28" s="7" t="inlineStr">
        <is>
          <t>AGR-01, AGR-09</t>
        </is>
      </c>
      <c r="I28" s="7" t="inlineStr">
        <is>
          <t>AGR-09</t>
        </is>
      </c>
      <c r="J28" s="7" t="inlineStr"/>
      <c r="K28" s="7" t="inlineStr">
        <is>
          <t>Slab</t>
        </is>
      </c>
      <c r="L28" s="7" t="inlineStr">
        <is>
          <t>Rs. 100 + Rs. 50 for every Rs. 1 lakh or part exceeding Rs. 1 lakh</t>
        </is>
      </c>
      <c r="M28" s="7" t="inlineStr"/>
      <c r="N28" s="7" t="inlineStr"/>
      <c r="O28" s="7" t="inlineStr"/>
      <c r="P28" s="7" t="inlineStr"/>
      <c r="Q28" s="7" t="inlineStr">
        <is>
          <t>No</t>
        </is>
      </c>
    </row>
    <row r="29">
      <c r="A29" s="10" t="inlineStr">
        <is>
          <t>5(j)</t>
        </is>
      </c>
      <c r="B29" s="7" t="inlineStr">
        <is>
          <t>5</t>
        </is>
      </c>
      <c r="C29" s="7" t="inlineStr">
        <is>
          <t>DN-05</t>
        </is>
      </c>
      <c r="D29" s="7" t="inlineStr">
        <is>
          <t>Agreement / Memorandum of Agreement</t>
        </is>
      </c>
      <c r="E29" s="7" t="inlineStr">
        <is>
          <t>Agreement / contract</t>
        </is>
      </c>
      <c r="F29" s="7" t="inlineStr">
        <is>
          <t>Agreement not otherwise provided for</t>
        </is>
      </c>
      <c r="G29" s="7" t="inlineStr">
        <is>
          <t>AGR-01 = AS-16 (no other clause matches)</t>
        </is>
      </c>
      <c r="H29" s="7" t="inlineStr">
        <is>
          <t>AGR-01</t>
        </is>
      </c>
      <c r="I29" s="7" t="inlineStr"/>
      <c r="J29" s="7" t="inlineStr"/>
      <c r="K29" s="7" t="inlineStr">
        <is>
          <t>Fixed</t>
        </is>
      </c>
      <c r="L29" s="7" t="inlineStr">
        <is>
          <t>Rs. 200</t>
        </is>
      </c>
      <c r="M29" s="7" t="inlineStr"/>
      <c r="N29" s="7" t="inlineStr"/>
      <c r="O29" s="7" t="inlineStr"/>
      <c r="P29" s="7" t="inlineStr"/>
      <c r="Q29" s="7" t="inlineStr">
        <is>
          <t>No</t>
        </is>
      </c>
    </row>
    <row r="30">
      <c r="A30" s="10" t="inlineStr">
        <is>
          <t>6(1)(i)</t>
        </is>
      </c>
      <c r="B30" s="7" t="inlineStr">
        <is>
          <t>6</t>
        </is>
      </c>
      <c r="C30" s="7" t="inlineStr">
        <is>
          <t>DN-06</t>
        </is>
      </c>
      <c r="D30" s="7" t="inlineStr">
        <is>
          <t>Deposit of Title Deeds / Pawn / Pledge</t>
        </is>
      </c>
      <c r="E30" s="7" t="inlineStr">
        <is>
          <t>Security for loan / debt (mortgage, pledge, hypothecation, charge)</t>
        </is>
      </c>
      <c r="F30" s="7" t="inlineStr">
        <is>
          <t>Deposit of title deeds - loan up to Rs.10 lakh</t>
        </is>
      </c>
      <c r="G30" s="7" t="inlineStr">
        <is>
          <t>Deposit of title deeds as security AND LON-01 &lt;= 10,00,000</t>
        </is>
      </c>
      <c r="H30" s="7" t="inlineStr">
        <is>
          <t>LON-03, LON-01, LON-02</t>
        </is>
      </c>
      <c r="I30" s="7" t="inlineStr">
        <is>
          <t>LON-01</t>
        </is>
      </c>
      <c r="J30" s="7" t="inlineStr"/>
      <c r="K30" s="7" t="inlineStr">
        <is>
          <t>Ad valorem</t>
        </is>
      </c>
      <c r="L30" s="7" t="inlineStr">
        <is>
          <t>0.1% of loan / debt amount</t>
        </is>
      </c>
      <c r="M30" s="7" t="inlineStr">
        <is>
          <t>Rs. 500</t>
        </is>
      </c>
      <c r="N30" s="7" t="inlineStr"/>
      <c r="O30" s="7" t="inlineStr"/>
      <c r="P30" s="7" t="inlineStr"/>
      <c r="Q30" s="7" t="inlineStr">
        <is>
          <t>No</t>
        </is>
      </c>
    </row>
    <row r="31">
      <c r="A31" s="10" t="inlineStr">
        <is>
          <t>6(1)(ii)</t>
        </is>
      </c>
      <c r="B31" s="7" t="inlineStr">
        <is>
          <t>6</t>
        </is>
      </c>
      <c r="C31" s="7" t="inlineStr">
        <is>
          <t>DN-06</t>
        </is>
      </c>
      <c r="D31" s="7" t="inlineStr">
        <is>
          <t>Deposit of Title Deeds / Pawn / Pledge</t>
        </is>
      </c>
      <c r="E31" s="7" t="inlineStr">
        <is>
          <t>Security for loan / debt (mortgage, pledge, hypothecation, charge)</t>
        </is>
      </c>
      <c r="F31" s="7" t="inlineStr">
        <is>
          <t>Deposit of title deeds - loan above Rs.10 lakh</t>
        </is>
      </c>
      <c r="G31" s="7" t="inlineStr">
        <is>
          <t>Deposit of title deeds as security AND LON-01 &gt; 10,00,000</t>
        </is>
      </c>
      <c r="H31" s="7" t="inlineStr">
        <is>
          <t>LON-03, LON-01, LON-02</t>
        </is>
      </c>
      <c r="I31" s="7" t="inlineStr">
        <is>
          <t>LON-01</t>
        </is>
      </c>
      <c r="J31" s="7" t="inlineStr"/>
      <c r="K31" s="7" t="inlineStr">
        <is>
          <t>Ad valorem</t>
        </is>
      </c>
      <c r="L31" s="7" t="inlineStr">
        <is>
          <t>0.2% of loan / debt amount</t>
        </is>
      </c>
      <c r="M31" s="7" t="inlineStr"/>
      <c r="N31" s="7" t="inlineStr">
        <is>
          <t>Rs. 10,00,000</t>
        </is>
      </c>
      <c r="O31" s="7" t="inlineStr"/>
      <c r="P31" s="7" t="inlineStr"/>
      <c r="Q31" s="7" t="inlineStr">
        <is>
          <t>No</t>
        </is>
      </c>
    </row>
    <row r="32">
      <c r="A32" s="10" t="inlineStr">
        <is>
          <t>6(2)-Exempt</t>
        </is>
      </c>
      <c r="B32" s="7" t="inlineStr">
        <is>
          <t>6</t>
        </is>
      </c>
      <c r="C32" s="7" t="inlineStr">
        <is>
          <t>DN-06</t>
        </is>
      </c>
      <c r="D32" s="7" t="inlineStr">
        <is>
          <t>Deposit of Title Deeds / Pawn / Pledge</t>
        </is>
      </c>
      <c r="E32" s="7" t="inlineStr">
        <is>
          <t>Security for loan / debt (mortgage, pledge, hypothecation, charge)</t>
        </is>
      </c>
      <c r="F32" s="7" t="inlineStr">
        <is>
          <t>Pawn / pledge of goods or jewels - loan up to Rs.1 lakh</t>
        </is>
      </c>
      <c r="G32" s="7" t="inlineStr">
        <is>
          <t>Pawn / pledge AND LON-13 = Yes AND LON-01 &lt;= 1,00,000</t>
        </is>
      </c>
      <c r="H32" s="7" t="inlineStr">
        <is>
          <t>LON-01, LON-13</t>
        </is>
      </c>
      <c r="I32" s="7" t="inlineStr"/>
      <c r="J32" s="7" t="inlineStr"/>
      <c r="K32" s="7" t="inlineStr">
        <is>
          <t>Fixed</t>
        </is>
      </c>
      <c r="L32" s="7" t="inlineStr">
        <is>
          <t>Exempt</t>
        </is>
      </c>
      <c r="M32" s="7" t="inlineStr"/>
      <c r="N32" s="7" t="inlineStr"/>
      <c r="O32" s="7" t="inlineStr"/>
      <c r="P32" s="7" t="inlineStr"/>
      <c r="Q32" s="7" t="inlineStr">
        <is>
          <t>No</t>
        </is>
      </c>
    </row>
    <row r="33">
      <c r="A33" s="10" t="inlineStr">
        <is>
          <t>6(2)(i)</t>
        </is>
      </c>
      <c r="B33" s="7" t="inlineStr">
        <is>
          <t>6</t>
        </is>
      </c>
      <c r="C33" s="7" t="inlineStr">
        <is>
          <t>DN-06</t>
        </is>
      </c>
      <c r="D33" s="7" t="inlineStr">
        <is>
          <t>Deposit of Title Deeds / Pawn / Pledge</t>
        </is>
      </c>
      <c r="E33" s="7" t="inlineStr">
        <is>
          <t>Security for loan / debt (mortgage, pledge, hypothecation, charge)</t>
        </is>
      </c>
      <c r="F33" s="7" t="inlineStr">
        <is>
          <t>Pawn / pledge of movable - loan &gt; Rs.1 lakh up to Rs.10 lakh</t>
        </is>
      </c>
      <c r="G33" s="7" t="inlineStr">
        <is>
          <t>Pawn / pledge AND 1,00,000 &lt; LON-01 &lt;= 10,00,000</t>
        </is>
      </c>
      <c r="H33" s="7" t="inlineStr">
        <is>
          <t>LON-01</t>
        </is>
      </c>
      <c r="I33" s="7" t="inlineStr">
        <is>
          <t>LON-01</t>
        </is>
      </c>
      <c r="J33" s="7" t="inlineStr">
        <is>
          <t>LON-11, LON-13</t>
        </is>
      </c>
      <c r="K33" s="7" t="inlineStr">
        <is>
          <t>Ad valorem</t>
        </is>
      </c>
      <c r="L33" s="7" t="inlineStr">
        <is>
          <t>0.1% of loan / debt amount</t>
        </is>
      </c>
      <c r="M33" s="7" t="inlineStr"/>
      <c r="N33" s="7" t="inlineStr"/>
      <c r="O33" s="7" t="inlineStr">
        <is>
          <t>Fresh instrument for same loan, same parties &amp; purpose with earlier duty paid: Art 5(j) Rs.200 (LON-11)</t>
        </is>
      </c>
      <c r="P33" s="7" t="inlineStr"/>
      <c r="Q33" s="7" t="inlineStr">
        <is>
          <t>No</t>
        </is>
      </c>
    </row>
    <row r="34">
      <c r="A34" s="10" t="inlineStr">
        <is>
          <t>6(2)(ii)</t>
        </is>
      </c>
      <c r="B34" s="7" t="inlineStr">
        <is>
          <t>6</t>
        </is>
      </c>
      <c r="C34" s="7" t="inlineStr">
        <is>
          <t>DN-06</t>
        </is>
      </c>
      <c r="D34" s="7" t="inlineStr">
        <is>
          <t>Deposit of Title Deeds / Pawn / Pledge</t>
        </is>
      </c>
      <c r="E34" s="7" t="inlineStr">
        <is>
          <t>Security for loan / debt (mortgage, pledge, hypothecation, charge)</t>
        </is>
      </c>
      <c r="F34" s="7" t="inlineStr">
        <is>
          <t>Pawn / pledge of movable - loan above Rs.10 lakh</t>
        </is>
      </c>
      <c r="G34" s="7" t="inlineStr">
        <is>
          <t>Pawn / pledge AND LON-01 &gt; 10,00,000</t>
        </is>
      </c>
      <c r="H34" s="7" t="inlineStr">
        <is>
          <t>LON-01</t>
        </is>
      </c>
      <c r="I34" s="7" t="inlineStr">
        <is>
          <t>LON-01</t>
        </is>
      </c>
      <c r="J34" s="7" t="inlineStr">
        <is>
          <t>LON-11, LON-13</t>
        </is>
      </c>
      <c r="K34" s="7" t="inlineStr">
        <is>
          <t>Ad valorem</t>
        </is>
      </c>
      <c r="L34" s="7" t="inlineStr">
        <is>
          <t>0.2% of loan / debt amount</t>
        </is>
      </c>
      <c r="M34" s="7" t="inlineStr"/>
      <c r="N34" s="7" t="inlineStr">
        <is>
          <t>Rs. 10,00,000</t>
        </is>
      </c>
      <c r="O34" s="7" t="inlineStr">
        <is>
          <t>Fresh instrument for same loan: Art 5(j) (LON-11)</t>
        </is>
      </c>
      <c r="P34" s="7" t="inlineStr"/>
      <c r="Q34" s="7" t="inlineStr">
        <is>
          <t>No</t>
        </is>
      </c>
    </row>
    <row r="35">
      <c r="A35" s="10" t="inlineStr">
        <is>
          <t>7</t>
        </is>
      </c>
      <c r="B35" s="7" t="inlineStr">
        <is>
          <t>7</t>
        </is>
      </c>
      <c r="C35" s="7" t="inlineStr">
        <is>
          <t>DN-07</t>
        </is>
      </c>
      <c r="D35" s="7" t="inlineStr">
        <is>
          <t>Appointment in Execution of a Power</t>
        </is>
      </c>
      <c r="E35" s="7" t="inlineStr">
        <is>
          <t>Authorisation (Power of Attorney / appointment)</t>
        </is>
      </c>
      <c r="F35" s="7" t="inlineStr">
        <is>
          <t>Appointment in execution of a power (trustees / property), not a will</t>
        </is>
      </c>
      <c r="G35" s="7" t="inlineStr">
        <is>
          <t>Nature of document selected (no further condition)</t>
        </is>
      </c>
      <c r="H35" s="7" t="inlineStr"/>
      <c r="I35" s="7" t="inlineStr"/>
      <c r="J35" s="7" t="inlineStr"/>
      <c r="K35" s="7" t="inlineStr">
        <is>
          <t>Fixed</t>
        </is>
      </c>
      <c r="L35" s="7" t="inlineStr">
        <is>
          <t>Rs. 1,000</t>
        </is>
      </c>
      <c r="M35" s="7" t="inlineStr"/>
      <c r="N35" s="7" t="inlineStr"/>
      <c r="O35" s="7" t="inlineStr"/>
      <c r="P35" s="7" t="inlineStr"/>
      <c r="Q35" s="7" t="inlineStr">
        <is>
          <t>No</t>
        </is>
      </c>
    </row>
    <row r="36">
      <c r="A36" s="10" t="inlineStr">
        <is>
          <t>8(a)</t>
        </is>
      </c>
      <c r="B36" s="7" t="inlineStr">
        <is>
          <t>8</t>
        </is>
      </c>
      <c r="C36" s="7" t="inlineStr">
        <is>
          <t>DN-08</t>
        </is>
      </c>
      <c r="D36" s="7" t="inlineStr">
        <is>
          <t>Appraisement / Valuation</t>
        </is>
      </c>
      <c r="E36" s="7" t="inlineStr">
        <is>
          <t>Declarations, certificates, copies and notarial instruments</t>
        </is>
      </c>
      <c r="F36" s="7" t="inlineStr">
        <is>
          <t>Appraisement / valuation - amount &lt;= Rs.1,000</t>
        </is>
      </c>
      <c r="G36" s="7" t="inlineStr">
        <is>
          <t>Not under Court order in a suit AND MSC-01 &lt;= 1,000</t>
        </is>
      </c>
      <c r="H36" s="7" t="inlineStr">
        <is>
          <t>MSC-01, MSC-04</t>
        </is>
      </c>
      <c r="I36" s="7" t="inlineStr">
        <is>
          <t>MSC-01</t>
        </is>
      </c>
      <c r="J36" s="7" t="inlineStr"/>
      <c r="K36" s="7" t="inlineStr">
        <is>
          <t>Same as other Article</t>
        </is>
      </c>
      <c r="L36" s="7" t="inlineStr">
        <is>
          <t>Same as Bond (Art 12) for such amount</t>
        </is>
      </c>
      <c r="M36" s="7" t="inlineStr"/>
      <c r="N36" s="7" t="inlineStr"/>
      <c r="O36" s="7" t="inlineStr"/>
      <c r="P36" s="7" t="inlineStr">
        <is>
          <t>For information of one party only; appraisement of crops for rent</t>
        </is>
      </c>
      <c r="Q36" s="7" t="inlineStr">
        <is>
          <t>No</t>
        </is>
      </c>
    </row>
    <row r="37">
      <c r="A37" s="10" t="inlineStr">
        <is>
          <t>8(b)</t>
        </is>
      </c>
      <c r="B37" s="7" t="inlineStr">
        <is>
          <t>8</t>
        </is>
      </c>
      <c r="C37" s="7" t="inlineStr">
        <is>
          <t>DN-08</t>
        </is>
      </c>
      <c r="D37" s="7" t="inlineStr">
        <is>
          <t>Appraisement / Valuation</t>
        </is>
      </c>
      <c r="E37" s="7" t="inlineStr">
        <is>
          <t>Declarations, certificates, copies and notarial instruments</t>
        </is>
      </c>
      <c r="F37" s="7" t="inlineStr">
        <is>
          <t>Appraisement / valuation - other</t>
        </is>
      </c>
      <c r="G37" s="7" t="inlineStr">
        <is>
          <t>MSC-01 &gt; 1,000</t>
        </is>
      </c>
      <c r="H37" s="7" t="inlineStr">
        <is>
          <t>MSC-01, MSC-04</t>
        </is>
      </c>
      <c r="I37" s="7" t="inlineStr"/>
      <c r="J37" s="7" t="inlineStr"/>
      <c r="K37" s="7" t="inlineStr">
        <is>
          <t>Fixed</t>
        </is>
      </c>
      <c r="L37" s="7" t="inlineStr">
        <is>
          <t>Rs. 100</t>
        </is>
      </c>
      <c r="M37" s="7" t="inlineStr"/>
      <c r="N37" s="7" t="inlineStr"/>
      <c r="O37" s="7" t="inlineStr"/>
      <c r="P37" s="7" t="inlineStr">
        <is>
          <t>For information of one party only; appraisement of crops for rent</t>
        </is>
      </c>
      <c r="Q37" s="7" t="inlineStr">
        <is>
          <t>No</t>
        </is>
      </c>
    </row>
    <row r="38">
      <c r="A38" s="10" t="inlineStr">
        <is>
          <t>9</t>
        </is>
      </c>
      <c r="B38" s="7" t="inlineStr">
        <is>
          <t>9</t>
        </is>
      </c>
      <c r="C38" s="7" t="inlineStr">
        <is>
          <t>DN-09</t>
        </is>
      </c>
      <c r="D38" s="7" t="inlineStr">
        <is>
          <t>Apprenticeship Deed</t>
        </is>
      </c>
      <c r="E38" s="7" t="inlineStr">
        <is>
          <t>Agreement / contract</t>
        </is>
      </c>
      <c r="F38" s="7" t="inlineStr">
        <is>
          <t>Apprenticeship deed</t>
        </is>
      </c>
      <c r="G38" s="7" t="inlineStr">
        <is>
          <t>Any apprenticeship / service / tuition writing</t>
        </is>
      </c>
      <c r="H38" s="7" t="inlineStr">
        <is>
          <t>MSC-05</t>
        </is>
      </c>
      <c r="I38" s="7" t="inlineStr"/>
      <c r="J38" s="7" t="inlineStr"/>
      <c r="K38" s="7" t="inlineStr">
        <is>
          <t>Fixed</t>
        </is>
      </c>
      <c r="L38" s="7" t="inlineStr">
        <is>
          <t>Rs. 100</t>
        </is>
      </c>
      <c r="M38" s="7" t="inlineStr"/>
      <c r="N38" s="7" t="inlineStr"/>
      <c r="O38" s="7" t="inlineStr"/>
      <c r="P38" s="7" t="inlineStr">
        <is>
          <t>Apprenticed by or at the charge of public charity</t>
        </is>
      </c>
      <c r="Q38" s="7" t="inlineStr">
        <is>
          <t>No</t>
        </is>
      </c>
    </row>
    <row r="39">
      <c r="A39" s="10" t="inlineStr">
        <is>
          <t>10</t>
        </is>
      </c>
      <c r="B39" s="7" t="inlineStr">
        <is>
          <t>10</t>
        </is>
      </c>
      <c r="C39" s="7" t="inlineStr">
        <is>
          <t>DN-10</t>
        </is>
      </c>
      <c r="D39" s="7" t="inlineStr">
        <is>
          <t>Articles of Association</t>
        </is>
      </c>
      <c r="E39" s="7" t="inlineStr">
        <is>
          <t>Business entity / company / securities</t>
        </is>
      </c>
      <c r="F39" s="7" t="inlineStr">
        <is>
          <t>Articles of Association</t>
        </is>
      </c>
      <c r="G39" s="7" t="inlineStr">
        <is>
          <t>Company with no / nominal / increased share capital</t>
        </is>
      </c>
      <c r="H39" s="7" t="inlineStr">
        <is>
          <t>CMP-02</t>
        </is>
      </c>
      <c r="I39" s="7" t="inlineStr">
        <is>
          <t>CMP-01</t>
        </is>
      </c>
      <c r="J39" s="7" t="inlineStr">
        <is>
          <t>CMP-02</t>
        </is>
      </c>
      <c r="K39" s="7" t="inlineStr">
        <is>
          <t>Slab</t>
        </is>
      </c>
      <c r="L39" s="7" t="inlineStr">
        <is>
          <t>Rs. 1,000 for every Rs. 10 lakh or part of share capital</t>
        </is>
      </c>
      <c r="M39" s="7" t="inlineStr"/>
      <c r="N39" s="7" t="inlineStr">
        <is>
          <t>Rs. 50,00,000</t>
        </is>
      </c>
      <c r="O39" s="7" t="inlineStr"/>
      <c r="P39" s="7" t="inlineStr">
        <is>
          <t>Association not formed for profit (Sec 25 Companies Act 1956)</t>
        </is>
      </c>
      <c r="Q39" s="7" t="inlineStr">
        <is>
          <t>No</t>
        </is>
      </c>
    </row>
    <row r="40">
      <c r="A40" s="10" t="inlineStr">
        <is>
          <t>11(a)</t>
        </is>
      </c>
      <c r="B40" s="7" t="inlineStr">
        <is>
          <t>11</t>
        </is>
      </c>
      <c r="C40" s="7" t="inlineStr">
        <is>
          <t>DN-11</t>
        </is>
      </c>
      <c r="D40" s="7" t="inlineStr">
        <is>
          <t>Award (Arbitration)</t>
        </is>
      </c>
      <c r="E40" s="7" t="inlineStr">
        <is>
          <t>Transfer of ownership / rights in property</t>
        </is>
      </c>
      <c r="F40" s="7" t="inlineStr">
        <is>
          <t>Arbitral award - immovable property</t>
        </is>
      </c>
      <c r="G40" s="7" t="inlineStr">
        <is>
          <t>Award (not directing partition, not under Court order in suit) AND MSC-06 = Immovable</t>
        </is>
      </c>
      <c r="H40" s="7" t="inlineStr">
        <is>
          <t>MSC-06</t>
        </is>
      </c>
      <c r="I40" s="7" t="inlineStr">
        <is>
          <t>GEN-09, GEN-08</t>
        </is>
      </c>
      <c r="J40" s="7" t="inlineStr"/>
      <c r="K40" s="7" t="inlineStr">
        <is>
          <t>Same as other Article</t>
        </is>
      </c>
      <c r="L40" s="7" t="inlineStr">
        <is>
          <t>Same as Conveyance 20(1) on market value or consideration, whichever higher</t>
        </is>
      </c>
      <c r="M40" s="7" t="inlineStr"/>
      <c r="N40" s="7" t="inlineStr"/>
      <c r="O40" s="7" t="inlineStr"/>
      <c r="P40" s="7" t="inlineStr"/>
      <c r="Q40" s="11" t="inlineStr">
        <is>
          <t>Yes</t>
        </is>
      </c>
    </row>
    <row r="41">
      <c r="A41" s="10" t="inlineStr">
        <is>
          <t>11(b)(i)</t>
        </is>
      </c>
      <c r="B41" s="7" t="inlineStr">
        <is>
          <t>11</t>
        </is>
      </c>
      <c r="C41" s="7" t="inlineStr">
        <is>
          <t>DN-11</t>
        </is>
      </c>
      <c r="D41" s="7" t="inlineStr">
        <is>
          <t>Award (Arbitration)</t>
        </is>
      </c>
      <c r="E41" s="7" t="inlineStr">
        <is>
          <t>Transfer of ownership / rights in property</t>
        </is>
      </c>
      <c r="F41" s="7" t="inlineStr">
        <is>
          <t>Arbitral award - movable, up to Rs.50 lakh</t>
        </is>
      </c>
      <c r="G41" s="7" t="inlineStr">
        <is>
          <t>MSC-06 = Movable AND value &lt;= 50 lakh</t>
        </is>
      </c>
      <c r="H41" s="7" t="inlineStr">
        <is>
          <t>MSC-06</t>
        </is>
      </c>
      <c r="I41" s="7" t="inlineStr">
        <is>
          <t>MSC-06</t>
        </is>
      </c>
      <c r="J41" s="7" t="inlineStr"/>
      <c r="K41" s="7" t="inlineStr">
        <is>
          <t>Ad valorem</t>
        </is>
      </c>
      <c r="L41" s="7" t="inlineStr">
        <is>
          <t>0.75% of amount / market value</t>
        </is>
      </c>
      <c r="M41" s="7" t="inlineStr"/>
      <c r="N41" s="7" t="inlineStr"/>
      <c r="O41" s="7" t="inlineStr"/>
      <c r="P41" s="7" t="inlineStr"/>
      <c r="Q41" s="7" t="inlineStr">
        <is>
          <t>No</t>
        </is>
      </c>
    </row>
    <row r="42">
      <c r="A42" s="10" t="inlineStr">
        <is>
          <t>11(b)(ii)</t>
        </is>
      </c>
      <c r="B42" s="7" t="inlineStr">
        <is>
          <t>11</t>
        </is>
      </c>
      <c r="C42" s="7" t="inlineStr">
        <is>
          <t>DN-11</t>
        </is>
      </c>
      <c r="D42" s="7" t="inlineStr">
        <is>
          <t>Award (Arbitration)</t>
        </is>
      </c>
      <c r="E42" s="7" t="inlineStr">
        <is>
          <t>Transfer of ownership / rights in property</t>
        </is>
      </c>
      <c r="F42" s="7" t="inlineStr">
        <is>
          <t>Arbitral award - movable, Rs.50 lakh to Rs.5 crore</t>
        </is>
      </c>
      <c r="G42" s="7" t="inlineStr">
        <is>
          <t>MSC-06 = Movable AND 50 lakh &lt; value &lt;= 5 crore</t>
        </is>
      </c>
      <c r="H42" s="7" t="inlineStr">
        <is>
          <t>MSC-06</t>
        </is>
      </c>
      <c r="I42" s="7" t="inlineStr">
        <is>
          <t>MSC-06</t>
        </is>
      </c>
      <c r="J42" s="7" t="inlineStr"/>
      <c r="K42" s="7" t="inlineStr">
        <is>
          <t>Slab</t>
        </is>
      </c>
      <c r="L42" s="7" t="inlineStr">
        <is>
          <t>Rs. 37,500 + 0.5% of value exceeding Rs. 50 lakh</t>
        </is>
      </c>
      <c r="M42" s="7" t="inlineStr"/>
      <c r="N42" s="7" t="inlineStr"/>
      <c r="O42" s="7" t="inlineStr"/>
      <c r="P42" s="7" t="inlineStr"/>
      <c r="Q42" s="7" t="inlineStr">
        <is>
          <t>No</t>
        </is>
      </c>
    </row>
    <row r="43">
      <c r="A43" s="10" t="inlineStr">
        <is>
          <t>11(b)(iii)</t>
        </is>
      </c>
      <c r="B43" s="7" t="inlineStr">
        <is>
          <t>11</t>
        </is>
      </c>
      <c r="C43" s="7" t="inlineStr">
        <is>
          <t>DN-11</t>
        </is>
      </c>
      <c r="D43" s="7" t="inlineStr">
        <is>
          <t>Award (Arbitration)</t>
        </is>
      </c>
      <c r="E43" s="7" t="inlineStr">
        <is>
          <t>Transfer of ownership / rights in property</t>
        </is>
      </c>
      <c r="F43" s="7" t="inlineStr">
        <is>
          <t>Arbitral award - movable, above Rs.5 crore</t>
        </is>
      </c>
      <c r="G43" s="7" t="inlineStr">
        <is>
          <t>MSC-06 = Movable AND value &gt; 5 crore</t>
        </is>
      </c>
      <c r="H43" s="7" t="inlineStr">
        <is>
          <t>MSC-06</t>
        </is>
      </c>
      <c r="I43" s="7" t="inlineStr">
        <is>
          <t>MSC-06</t>
        </is>
      </c>
      <c r="J43" s="7" t="inlineStr"/>
      <c r="K43" s="7" t="inlineStr">
        <is>
          <t>Slab</t>
        </is>
      </c>
      <c r="L43" s="7" t="inlineStr">
        <is>
          <t>Rs. 37,500 + Rs. 2,25,000 + 0.25% of value exceeding Rs. 5 crore</t>
        </is>
      </c>
      <c r="M43" s="7" t="inlineStr"/>
      <c r="N43" s="7" t="inlineStr"/>
      <c r="O43" s="7" t="inlineStr"/>
      <c r="P43" s="7" t="inlineStr"/>
      <c r="Q43" s="7" t="inlineStr">
        <is>
          <t>No</t>
        </is>
      </c>
    </row>
    <row r="44">
      <c r="A44" s="10" t="inlineStr">
        <is>
          <t>12(a)</t>
        </is>
      </c>
      <c r="B44" s="7" t="inlineStr">
        <is>
          <t>12</t>
        </is>
      </c>
      <c r="C44" s="7" t="inlineStr">
        <is>
          <t>DN-12</t>
        </is>
      </c>
      <c r="D44" s="7" t="inlineStr">
        <is>
          <t>Bond</t>
        </is>
      </c>
      <c r="E44" s="7" t="inlineStr">
        <is>
          <t>Bonds and guarantees</t>
        </is>
      </c>
      <c r="F44" s="7" t="inlineStr">
        <is>
          <t>Bond - amount &lt;= Rs.1,000</t>
        </is>
      </c>
      <c r="G44" s="7" t="inlineStr">
        <is>
          <t>Bond u/s 2(1)(a) not otherwise provided AND MSC-01 &lt;= 1,000</t>
        </is>
      </c>
      <c r="H44" s="7" t="inlineStr">
        <is>
          <t>MSC-01, MSC-13</t>
        </is>
      </c>
      <c r="I44" s="7" t="inlineStr">
        <is>
          <t>MSC-01</t>
        </is>
      </c>
      <c r="J44" s="7" t="inlineStr">
        <is>
          <t>MSC-13</t>
        </is>
      </c>
      <c r="K44" s="7" t="inlineStr">
        <is>
          <t>Ad valorem</t>
        </is>
      </c>
      <c r="L44" s="7" t="inlineStr">
        <is>
          <t>50 paise for every Rs. 100 or part</t>
        </is>
      </c>
      <c r="M44" s="7" t="inlineStr"/>
      <c r="N44" s="7" t="inlineStr"/>
      <c r="O44" s="7" t="inlineStr"/>
      <c r="P44" s="7" t="inlineStr">
        <is>
          <t>Bond guaranteeing local income of charitable dispensary / hospital / public utility</t>
        </is>
      </c>
      <c r="Q44" s="7" t="inlineStr">
        <is>
          <t>No</t>
        </is>
      </c>
    </row>
    <row r="45">
      <c r="A45" s="10" t="inlineStr">
        <is>
          <t>12(b)</t>
        </is>
      </c>
      <c r="B45" s="7" t="inlineStr">
        <is>
          <t>12</t>
        </is>
      </c>
      <c r="C45" s="7" t="inlineStr">
        <is>
          <t>DN-12</t>
        </is>
      </c>
      <c r="D45" s="7" t="inlineStr">
        <is>
          <t>Bond</t>
        </is>
      </c>
      <c r="E45" s="7" t="inlineStr">
        <is>
          <t>Bonds and guarantees</t>
        </is>
      </c>
      <c r="F45" s="7" t="inlineStr">
        <is>
          <t>Bond - amount &gt; Rs.1,000</t>
        </is>
      </c>
      <c r="G45" s="7" t="inlineStr">
        <is>
          <t>MSC-01 &gt; 1,000</t>
        </is>
      </c>
      <c r="H45" s="7" t="inlineStr">
        <is>
          <t>MSC-01, MSC-13</t>
        </is>
      </c>
      <c r="I45" s="7" t="inlineStr">
        <is>
          <t>MSC-01</t>
        </is>
      </c>
      <c r="J45" s="7" t="inlineStr">
        <is>
          <t>MSC-13</t>
        </is>
      </c>
      <c r="K45" s="7" t="inlineStr">
        <is>
          <t>Slab</t>
        </is>
      </c>
      <c r="L45" s="7" t="inlineStr">
        <is>
          <t>Duty under (a) for first Rs. 1,000 + Rs. 2.50 for every Rs. 500 or part in excess</t>
        </is>
      </c>
      <c r="M45" s="7" t="inlineStr"/>
      <c r="N45" s="7" t="inlineStr"/>
      <c r="O45" s="7" t="inlineStr"/>
      <c r="P45" s="7" t="inlineStr"/>
      <c r="Q45" s="7" t="inlineStr">
        <is>
          <t>No</t>
        </is>
      </c>
    </row>
    <row r="46">
      <c r="A46" s="10" t="inlineStr">
        <is>
          <t>13</t>
        </is>
      </c>
      <c r="B46" s="7" t="inlineStr">
        <is>
          <t>13</t>
        </is>
      </c>
      <c r="C46" s="7" t="inlineStr">
        <is>
          <t>DN-13</t>
        </is>
      </c>
      <c r="D46" s="7" t="inlineStr">
        <is>
          <t>Bottomry Bond</t>
        </is>
      </c>
      <c r="E46" s="7" t="inlineStr">
        <is>
          <t>Shipping, goods and trade documents</t>
        </is>
      </c>
      <c r="F46" s="7" t="inlineStr">
        <is>
          <t>Bottomry bond</t>
        </is>
      </c>
      <c r="G46" s="7" t="inlineStr">
        <is>
          <t>Master of seagoing ship borrows on security of ship</t>
        </is>
      </c>
      <c r="H46" s="7" t="inlineStr"/>
      <c r="I46" s="7" t="inlineStr">
        <is>
          <t>MSC-01</t>
        </is>
      </c>
      <c r="J46" s="7" t="inlineStr"/>
      <c r="K46" s="7" t="inlineStr">
        <is>
          <t>Same as other Article</t>
        </is>
      </c>
      <c r="L46" s="7" t="inlineStr">
        <is>
          <t>Same as Bond (Art 12) for such amount</t>
        </is>
      </c>
      <c r="M46" s="7" t="inlineStr"/>
      <c r="N46" s="7" t="inlineStr"/>
      <c r="O46" s="7" t="inlineStr"/>
      <c r="P46" s="7" t="inlineStr"/>
      <c r="Q46" s="7" t="inlineStr">
        <is>
          <t>No</t>
        </is>
      </c>
    </row>
    <row r="47">
      <c r="A47" s="10" t="inlineStr">
        <is>
          <t>14(a)</t>
        </is>
      </c>
      <c r="B47" s="7" t="inlineStr">
        <is>
          <t>14</t>
        </is>
      </c>
      <c r="C47" s="7" t="inlineStr">
        <is>
          <t>DN-14</t>
        </is>
      </c>
      <c r="D47" s="7" t="inlineStr">
        <is>
          <t>Cancellation of Instrument</t>
        </is>
      </c>
      <c r="E47" s="7" t="inlineStr">
        <is>
          <t>Cancellation / release / surrender / revocation</t>
        </is>
      </c>
      <c r="F47" s="7" t="inlineStr">
        <is>
          <t>Cancellation - having effect of reconveyance</t>
        </is>
      </c>
      <c r="G47" s="7" t="inlineStr">
        <is>
          <t>CNL-02 = No AND CNL-03 = Yes</t>
        </is>
      </c>
      <c r="H47" s="7" t="inlineStr">
        <is>
          <t>CNL-01, CNL-02, CNL-03</t>
        </is>
      </c>
      <c r="I47" s="7" t="inlineStr">
        <is>
          <t>CNL-01, CNL-04, GEN-09, CNL-05</t>
        </is>
      </c>
      <c r="J47" s="7" t="inlineStr"/>
      <c r="K47" s="7" t="inlineStr">
        <is>
          <t>Same as other Article</t>
        </is>
      </c>
      <c r="L47" s="7" t="inlineStr">
        <is>
          <t>Same duty as on the original instrument; if original is conveyance on sale: Art 20(1) on MV as on date of cancellation</t>
        </is>
      </c>
      <c r="M47" s="7" t="inlineStr"/>
      <c r="N47" s="7" t="inlineStr"/>
      <c r="O47" s="7" t="inlineStr">
        <is>
          <t>If original determined under Sec 45-A, duty as so determined (Explanation)</t>
        </is>
      </c>
      <c r="P47" s="7" t="inlineStr"/>
      <c r="Q47" s="7" t="inlineStr">
        <is>
          <t>No</t>
        </is>
      </c>
    </row>
    <row r="48">
      <c r="A48" s="10" t="inlineStr">
        <is>
          <t>14(b)</t>
        </is>
      </c>
      <c r="B48" s="7" t="inlineStr">
        <is>
          <t>14</t>
        </is>
      </c>
      <c r="C48" s="7" t="inlineStr">
        <is>
          <t>DN-14</t>
        </is>
      </c>
      <c r="D48" s="7" t="inlineStr">
        <is>
          <t>Cancellation of Instrument</t>
        </is>
      </c>
      <c r="E48" s="7" t="inlineStr">
        <is>
          <t>Cancellation / release / surrender / revocation</t>
        </is>
      </c>
      <c r="F48" s="7" t="inlineStr">
        <is>
          <t>Cancellation of instrument executed by Govt / authority / Govt body corporate</t>
        </is>
      </c>
      <c r="G48" s="7" t="inlineStr">
        <is>
          <t>CNL-02 = Yes</t>
        </is>
      </c>
      <c r="H48" s="7" t="inlineStr">
        <is>
          <t>CNL-01, CNL-02</t>
        </is>
      </c>
      <c r="I48" s="7" t="inlineStr"/>
      <c r="J48" s="7" t="inlineStr"/>
      <c r="K48" s="7" t="inlineStr">
        <is>
          <t>Fixed</t>
        </is>
      </c>
      <c r="L48" s="7" t="inlineStr">
        <is>
          <t>Rs. 100</t>
        </is>
      </c>
      <c r="M48" s="7" t="inlineStr"/>
      <c r="N48" s="7" t="inlineStr"/>
      <c r="O48" s="7" t="inlineStr"/>
      <c r="P48" s="7" t="inlineStr"/>
      <c r="Q48" s="7" t="inlineStr">
        <is>
          <t>No</t>
        </is>
      </c>
    </row>
    <row r="49">
      <c r="A49" s="10" t="inlineStr">
        <is>
          <t>14(c)</t>
        </is>
      </c>
      <c r="B49" s="7" t="inlineStr">
        <is>
          <t>14</t>
        </is>
      </c>
      <c r="C49" s="7" t="inlineStr">
        <is>
          <t>DN-14</t>
        </is>
      </c>
      <c r="D49" s="7" t="inlineStr">
        <is>
          <t>Cancellation of Instrument</t>
        </is>
      </c>
      <c r="E49" s="7" t="inlineStr">
        <is>
          <t>Cancellation / release / surrender / revocation</t>
        </is>
      </c>
      <c r="F49" s="7" t="inlineStr">
        <is>
          <t>Cancellation - any other case</t>
        </is>
      </c>
      <c r="G49" s="7" t="inlineStr">
        <is>
          <t>CNL-02 = No AND CNL-03 = No (see also 5(e)(i) proviso, Release 45, Revocation 48-B, Surrender 51)</t>
        </is>
      </c>
      <c r="H49" s="7" t="inlineStr">
        <is>
          <t>CNL-01, CNL-02, CNL-03, AGR-15</t>
        </is>
      </c>
      <c r="I49" s="7" t="inlineStr"/>
      <c r="J49" s="7" t="inlineStr"/>
      <c r="K49" s="7" t="inlineStr">
        <is>
          <t>Fixed</t>
        </is>
      </c>
      <c r="L49" s="7" t="inlineStr">
        <is>
          <t>Rs. 100</t>
        </is>
      </c>
      <c r="M49" s="7" t="inlineStr"/>
      <c r="N49" s="7" t="inlineStr"/>
      <c r="O49" s="7" t="inlineStr">
        <is>
          <t>Cancellation of 5(e)(i) / 5(g)(i) agreement with proper duty: max Rs.500</t>
        </is>
      </c>
      <c r="P49" s="7" t="inlineStr"/>
      <c r="Q49" s="7" t="inlineStr">
        <is>
          <t>No</t>
        </is>
      </c>
    </row>
    <row r="50">
      <c r="A50" s="10" t="inlineStr">
        <is>
          <t>15(a)</t>
        </is>
      </c>
      <c r="B50" s="7" t="inlineStr">
        <is>
          <t>15</t>
        </is>
      </c>
      <c r="C50" s="7" t="inlineStr">
        <is>
          <t>DN-15</t>
        </is>
      </c>
      <c r="D50" s="7" t="inlineStr">
        <is>
          <t>Certificate of Sale (Public Auction)</t>
        </is>
      </c>
      <c r="E50" s="7" t="inlineStr">
        <is>
          <t>Transfer of ownership / rights in property</t>
        </is>
      </c>
      <c r="F50" s="7" t="inlineStr">
        <is>
          <t>Certificate of sale - purchase money &lt;= Rs.10</t>
        </is>
      </c>
      <c r="G50" s="7" t="inlineStr">
        <is>
          <t>MSC-07 &lt;= 10</t>
        </is>
      </c>
      <c r="H50" s="7" t="inlineStr">
        <is>
          <t>MSC-07</t>
        </is>
      </c>
      <c r="I50" s="7" t="inlineStr"/>
      <c r="J50" s="7" t="inlineStr"/>
      <c r="K50" s="7" t="inlineStr">
        <is>
          <t>Fixed</t>
        </is>
      </c>
      <c r="L50" s="7" t="inlineStr">
        <is>
          <t>Re. 1</t>
        </is>
      </c>
      <c r="M50" s="7" t="inlineStr"/>
      <c r="N50" s="7" t="inlineStr"/>
      <c r="O50" s="7" t="inlineStr"/>
      <c r="P50" s="7" t="inlineStr"/>
      <c r="Q50" s="7" t="inlineStr">
        <is>
          <t>No</t>
        </is>
      </c>
    </row>
    <row r="51">
      <c r="A51" s="10" t="inlineStr">
        <is>
          <t>15(b)</t>
        </is>
      </c>
      <c r="B51" s="7" t="inlineStr">
        <is>
          <t>15</t>
        </is>
      </c>
      <c r="C51" s="7" t="inlineStr">
        <is>
          <t>DN-15</t>
        </is>
      </c>
      <c r="D51" s="7" t="inlineStr">
        <is>
          <t>Certificate of Sale (Public Auction)</t>
        </is>
      </c>
      <c r="E51" s="7" t="inlineStr">
        <is>
          <t>Transfer of ownership / rights in property</t>
        </is>
      </c>
      <c r="F51" s="7" t="inlineStr">
        <is>
          <t>Certificate of sale - purchase money &gt; Rs.10</t>
        </is>
      </c>
      <c r="G51" s="7" t="inlineStr">
        <is>
          <t>MSC-07 &gt; 10 (slab as printed in source; confirm upper limit with Department)</t>
        </is>
      </c>
      <c r="H51" s="7" t="inlineStr">
        <is>
          <t>MSC-07</t>
        </is>
      </c>
      <c r="I51" s="7" t="inlineStr"/>
      <c r="J51" s="7" t="inlineStr"/>
      <c r="K51" s="7" t="inlineStr">
        <is>
          <t>Fixed</t>
        </is>
      </c>
      <c r="L51" s="7" t="inlineStr">
        <is>
          <t>Rs. 1.50</t>
        </is>
      </c>
      <c r="M51" s="7" t="inlineStr"/>
      <c r="N51" s="7" t="inlineStr"/>
      <c r="O51" s="7" t="inlineStr"/>
      <c r="P51" s="7" t="inlineStr"/>
      <c r="Q51" s="7" t="inlineStr">
        <is>
          <t>No</t>
        </is>
      </c>
    </row>
    <row r="52">
      <c r="A52" s="10" t="inlineStr">
        <is>
          <t>15(c)</t>
        </is>
      </c>
      <c r="B52" s="7" t="inlineStr">
        <is>
          <t>15</t>
        </is>
      </c>
      <c r="C52" s="7" t="inlineStr">
        <is>
          <t>DN-15</t>
        </is>
      </c>
      <c r="D52" s="7" t="inlineStr">
        <is>
          <t>Certificate of Sale (Public Auction)</t>
        </is>
      </c>
      <c r="E52" s="7" t="inlineStr">
        <is>
          <t>Transfer of ownership / rights in property</t>
        </is>
      </c>
      <c r="F52" s="7" t="inlineStr">
        <is>
          <t>Certificate of sale - any other case</t>
        </is>
      </c>
      <c r="G52" s="7" t="inlineStr">
        <is>
          <t>Other than (a)/(b)</t>
        </is>
      </c>
      <c r="H52" s="7" t="inlineStr">
        <is>
          <t>MSC-07</t>
        </is>
      </c>
      <c r="I52" s="7" t="inlineStr">
        <is>
          <t>MSC-07</t>
        </is>
      </c>
      <c r="J52" s="7" t="inlineStr"/>
      <c r="K52" s="7" t="inlineStr">
        <is>
          <t>Same as other Article</t>
        </is>
      </c>
      <c r="L52" s="7" t="inlineStr">
        <is>
          <t>Same as Conveyance (Art 20) for MV equal to purchase money only</t>
        </is>
      </c>
      <c r="M52" s="7" t="inlineStr"/>
      <c r="N52" s="7" t="inlineStr"/>
      <c r="O52" s="7" t="inlineStr"/>
      <c r="P52" s="7" t="inlineStr"/>
      <c r="Q52" s="7" t="inlineStr">
        <is>
          <t>No</t>
        </is>
      </c>
    </row>
    <row r="53">
      <c r="A53" s="10" t="inlineStr">
        <is>
          <t>16</t>
        </is>
      </c>
      <c r="B53" s="7" t="inlineStr">
        <is>
          <t>16</t>
        </is>
      </c>
      <c r="C53" s="7" t="inlineStr">
        <is>
          <t>DN-16</t>
        </is>
      </c>
      <c r="D53" s="7" t="inlineStr">
        <is>
          <t>Share Certificate / Document of title to shares</t>
        </is>
      </c>
      <c r="E53" s="7" t="inlineStr">
        <is>
          <t>Business entity / company / securities</t>
        </is>
      </c>
      <c r="F53" s="7" t="inlineStr">
        <is>
          <t>Share certificate / document of title to shares</t>
        </is>
      </c>
      <c r="G53" s="7" t="inlineStr">
        <is>
          <t>Nature of document selected (no further condition)</t>
        </is>
      </c>
      <c r="H53" s="7" t="inlineStr"/>
      <c r="I53" s="7" t="inlineStr">
        <is>
          <t>CMP-09</t>
        </is>
      </c>
      <c r="J53" s="7" t="inlineStr"/>
      <c r="K53" s="7" t="inlineStr">
        <is>
          <t>Ad valorem</t>
        </is>
      </c>
      <c r="L53" s="7" t="inlineStr">
        <is>
          <t>Re. 1 for every Rs. 1,000 or part of value of shares incl. premium</t>
        </is>
      </c>
      <c r="M53" s="7" t="inlineStr"/>
      <c r="N53" s="7" t="inlineStr"/>
      <c r="O53" s="7" t="inlineStr"/>
      <c r="P53" s="7" t="inlineStr"/>
      <c r="Q53" s="7" t="inlineStr">
        <is>
          <t>No</t>
        </is>
      </c>
    </row>
    <row r="54">
      <c r="A54" s="10" t="inlineStr">
        <is>
          <t>17</t>
        </is>
      </c>
      <c r="B54" s="7" t="inlineStr">
        <is>
          <t>17</t>
        </is>
      </c>
      <c r="C54" s="7" t="inlineStr">
        <is>
          <t>DN-17</t>
        </is>
      </c>
      <c r="D54" s="7" t="inlineStr">
        <is>
          <t>Certificate of Enrolment as Advocate</t>
        </is>
      </c>
      <c r="E54" s="7" t="inlineStr">
        <is>
          <t>Declarations, certificates, copies and notarial instruments</t>
        </is>
      </c>
      <c r="F54" s="7" t="inlineStr">
        <is>
          <t>Certificate of enrolment as Advocate</t>
        </is>
      </c>
      <c r="G54" s="7" t="inlineStr">
        <is>
          <t>Nature of document selected (no further condition)</t>
        </is>
      </c>
      <c r="H54" s="7" t="inlineStr"/>
      <c r="I54" s="7" t="inlineStr"/>
      <c r="J54" s="7" t="inlineStr"/>
      <c r="K54" s="7" t="inlineStr">
        <is>
          <t>Fixed</t>
        </is>
      </c>
      <c r="L54" s="7" t="inlineStr">
        <is>
          <t>Rs. 500</t>
        </is>
      </c>
      <c r="M54" s="7" t="inlineStr"/>
      <c r="N54" s="7" t="inlineStr"/>
      <c r="O54" s="7" t="inlineStr"/>
      <c r="P54" s="7" t="inlineStr"/>
      <c r="Q54" s="7" t="inlineStr">
        <is>
          <t>No</t>
        </is>
      </c>
    </row>
    <row r="55">
      <c r="A55" s="10" t="inlineStr">
        <is>
          <t>18</t>
        </is>
      </c>
      <c r="B55" s="7" t="inlineStr">
        <is>
          <t>18</t>
        </is>
      </c>
      <c r="C55" s="7" t="inlineStr">
        <is>
          <t>DN-18</t>
        </is>
      </c>
      <c r="D55" s="7" t="inlineStr">
        <is>
          <t>Charter Party</t>
        </is>
      </c>
      <c r="E55" s="7" t="inlineStr">
        <is>
          <t>Shipping, goods and trade documents</t>
        </is>
      </c>
      <c r="F55" s="7" t="inlineStr">
        <is>
          <t>Charter party</t>
        </is>
      </c>
      <c r="G55" s="7" t="inlineStr">
        <is>
          <t>Vessel let for charter (not tug-steamer hire)</t>
        </is>
      </c>
      <c r="H55" s="7" t="inlineStr"/>
      <c r="I55" s="7" t="inlineStr"/>
      <c r="J55" s="7" t="inlineStr"/>
      <c r="K55" s="7" t="inlineStr">
        <is>
          <t>Fixed</t>
        </is>
      </c>
      <c r="L55" s="7" t="inlineStr">
        <is>
          <t>Rs. 100</t>
        </is>
      </c>
      <c r="M55" s="7" t="inlineStr"/>
      <c r="N55" s="7" t="inlineStr"/>
      <c r="O55" s="7" t="inlineStr"/>
      <c r="P55" s="7" t="inlineStr"/>
      <c r="Q55" s="7" t="inlineStr">
        <is>
          <t>No</t>
        </is>
      </c>
    </row>
    <row r="56">
      <c r="A56" s="10" t="inlineStr">
        <is>
          <t>18-A(1)</t>
        </is>
      </c>
      <c r="B56" s="7" t="inlineStr">
        <is>
          <t>18-A</t>
        </is>
      </c>
      <c r="C56" s="7" t="inlineStr">
        <is>
          <t>DN-19</t>
        </is>
      </c>
      <c r="D56" s="7" t="inlineStr">
        <is>
          <t>Clearance List (Stock Exchange)</t>
        </is>
      </c>
      <c r="E56" s="7" t="inlineStr">
        <is>
          <t>Business entity / company / securities</t>
        </is>
      </c>
      <c r="F56" s="7" t="inlineStr">
        <is>
          <t>Clearance list - Govt securities</t>
        </is>
      </c>
      <c r="G56" s="7" t="inlineStr">
        <is>
          <t>CMP-14 = Govt securities</t>
        </is>
      </c>
      <c r="H56" s="7" t="inlineStr">
        <is>
          <t>CMP-14</t>
        </is>
      </c>
      <c r="I56" s="7" t="inlineStr">
        <is>
          <t>AGR-08</t>
        </is>
      </c>
      <c r="J56" s="7" t="inlineStr"/>
      <c r="K56" s="7" t="inlineStr">
        <is>
          <t>Same as other Article</t>
        </is>
      </c>
      <c r="L56" s="7" t="inlineStr">
        <is>
          <t>Sum of duties under 5(b) / 37(c) for each entry</t>
        </is>
      </c>
      <c r="M56" s="7" t="inlineStr"/>
      <c r="N56" s="7" t="inlineStr"/>
      <c r="O56" s="7" t="inlineStr"/>
      <c r="P56" s="7" t="inlineStr"/>
      <c r="Q56" s="7" t="inlineStr">
        <is>
          <t>No</t>
        </is>
      </c>
    </row>
    <row r="57">
      <c r="A57" s="10" t="inlineStr">
        <is>
          <t>18-A(2)</t>
        </is>
      </c>
      <c r="B57" s="7" t="inlineStr">
        <is>
          <t>18-A</t>
        </is>
      </c>
      <c r="C57" s="7" t="inlineStr">
        <is>
          <t>DN-19</t>
        </is>
      </c>
      <c r="D57" s="7" t="inlineStr">
        <is>
          <t>Clearance List (Stock Exchange)</t>
        </is>
      </c>
      <c r="E57" s="7" t="inlineStr">
        <is>
          <t>Business entity / company / securities</t>
        </is>
      </c>
      <c r="F57" s="7" t="inlineStr">
        <is>
          <t>Clearance list - securities, recognised exchange</t>
        </is>
      </c>
      <c r="G57" s="7" t="inlineStr">
        <is>
          <t>CMP-14 = Recognised exchange</t>
        </is>
      </c>
      <c r="H57" s="7" t="inlineStr">
        <is>
          <t>CMP-14</t>
        </is>
      </c>
      <c r="I57" s="7" t="inlineStr">
        <is>
          <t>AGR-08</t>
        </is>
      </c>
      <c r="J57" s="7" t="inlineStr"/>
      <c r="K57" s="7" t="inlineStr">
        <is>
          <t>Same as other Article</t>
        </is>
      </c>
      <c r="L57" s="7" t="inlineStr">
        <is>
          <t>Sum of duties under 5(c)(i) / 37(b) for each entry</t>
        </is>
      </c>
      <c r="M57" s="7" t="inlineStr"/>
      <c r="N57" s="7" t="inlineStr"/>
      <c r="O57" s="7" t="inlineStr"/>
      <c r="P57" s="7" t="inlineStr"/>
      <c r="Q57" s="7" t="inlineStr">
        <is>
          <t>No</t>
        </is>
      </c>
    </row>
    <row r="58">
      <c r="A58" s="10" t="inlineStr">
        <is>
          <t>18-A(3)</t>
        </is>
      </c>
      <c r="B58" s="7" t="inlineStr">
        <is>
          <t>18-A</t>
        </is>
      </c>
      <c r="C58" s="7" t="inlineStr">
        <is>
          <t>DN-19</t>
        </is>
      </c>
      <c r="D58" s="7" t="inlineStr">
        <is>
          <t>Clearance List (Stock Exchange)</t>
        </is>
      </c>
      <c r="E58" s="7" t="inlineStr">
        <is>
          <t>Business entity / company / securities</t>
        </is>
      </c>
      <c r="F58" s="7" t="inlineStr">
        <is>
          <t>Clearance list - securities, unrecognised exchange</t>
        </is>
      </c>
      <c r="G58" s="7" t="inlineStr">
        <is>
          <t>CMP-14 = Unrecognised exchange</t>
        </is>
      </c>
      <c r="H58" s="7" t="inlineStr">
        <is>
          <t>CMP-14</t>
        </is>
      </c>
      <c r="I58" s="7" t="inlineStr">
        <is>
          <t>AGR-08</t>
        </is>
      </c>
      <c r="J58" s="7" t="inlineStr"/>
      <c r="K58" s="7" t="inlineStr">
        <is>
          <t>Same as other Article</t>
        </is>
      </c>
      <c r="L58" s="7" t="inlineStr">
        <is>
          <t>Sum of duties under 5(c)(i) / 37(b) for each entry</t>
        </is>
      </c>
      <c r="M58" s="7" t="inlineStr"/>
      <c r="N58" s="7" t="inlineStr"/>
      <c r="O58" s="7" t="inlineStr"/>
      <c r="P58" s="7" t="inlineStr"/>
      <c r="Q58" s="7" t="inlineStr">
        <is>
          <t>No</t>
        </is>
      </c>
    </row>
    <row r="59">
      <c r="A59" s="10" t="inlineStr">
        <is>
          <t>19</t>
        </is>
      </c>
      <c r="B59" s="7" t="inlineStr">
        <is>
          <t>19</t>
        </is>
      </c>
      <c r="C59" s="7" t="inlineStr">
        <is>
          <t>DN-20</t>
        </is>
      </c>
      <c r="D59" s="7" t="inlineStr">
        <is>
          <t>Composition Deed</t>
        </is>
      </c>
      <c r="E59" s="7" t="inlineStr">
        <is>
          <t>Agreement / contract</t>
        </is>
      </c>
      <c r="F59" s="7" t="inlineStr">
        <is>
          <t>Composition deed</t>
        </is>
      </c>
      <c r="G59" s="7" t="inlineStr">
        <is>
          <t>Debtor conveys property / secures composition for creditors</t>
        </is>
      </c>
      <c r="H59" s="7" t="inlineStr"/>
      <c r="I59" s="7" t="inlineStr"/>
      <c r="J59" s="7" t="inlineStr"/>
      <c r="K59" s="7" t="inlineStr">
        <is>
          <t>Fixed</t>
        </is>
      </c>
      <c r="L59" s="7" t="inlineStr">
        <is>
          <t>Rs. 200</t>
        </is>
      </c>
      <c r="M59" s="7" t="inlineStr"/>
      <c r="N59" s="7" t="inlineStr"/>
      <c r="O59" s="7" t="inlineStr"/>
      <c r="P59" s="7" t="inlineStr"/>
      <c r="Q59" s="7" t="inlineStr">
        <is>
          <t>No</t>
        </is>
      </c>
    </row>
    <row r="60">
      <c r="A60" s="10" t="inlineStr">
        <is>
          <t>20(1)</t>
        </is>
      </c>
      <c r="B60" s="7" t="inlineStr">
        <is>
          <t>20</t>
        </is>
      </c>
      <c r="C60" s="7" t="inlineStr">
        <is>
          <t>DN-21</t>
        </is>
      </c>
      <c r="D60" s="7" t="inlineStr">
        <is>
          <t>Conveyance / Sale Deed (incl. Flat, Amalgamation, Machinery, Securitisation, TDR)</t>
        </is>
      </c>
      <c r="E60" s="7" t="inlineStr">
        <is>
          <t>Transfer of ownership / rights in property</t>
        </is>
      </c>
      <c r="F60" s="7" t="inlineStr">
        <is>
          <t>Conveyance (general sale / transfer)</t>
        </is>
      </c>
      <c r="G60" s="7" t="inlineStr">
        <is>
          <t>Conveyance u/s 2(d) not covered by 20(2)-(7) and not a transfer under Art 52</t>
        </is>
      </c>
      <c r="H60" s="7" t="inlineStr">
        <is>
          <t>PRP-01, PRP-06</t>
        </is>
      </c>
      <c r="I60" s="7" t="inlineStr">
        <is>
          <t>GEN-08, GEN-09, PRP-02</t>
        </is>
      </c>
      <c r="J60" s="7" t="inlineStr">
        <is>
          <t>GEN-11, GEN-12</t>
        </is>
      </c>
      <c r="K60" s="7" t="inlineStr">
        <is>
          <t>Ad valorem</t>
        </is>
      </c>
      <c r="L60" s="7" t="inlineStr">
        <is>
          <t>5% of market value of the property (higher of consideration and MV)</t>
        </is>
      </c>
      <c r="M60" s="7" t="inlineStr"/>
      <c r="N60" s="7" t="inlineStr"/>
      <c r="O60" s="7" t="inlineStr">
        <is>
          <t>Lease-cum-sale under 5(d) already stamped: max Rs.10 or difference, whichever greater; HBCS LCS before 31-03-2001: MV as on date of LCS; adjust duty paid under 5(e)(i) / 41(e) / 41(eb) (GEN-12)</t>
        </is>
      </c>
      <c r="P60" s="7" t="inlineStr"/>
      <c r="Q60" s="11" t="inlineStr">
        <is>
          <t>Yes</t>
        </is>
      </c>
    </row>
    <row r="61">
      <c r="A61" s="10" t="inlineStr">
        <is>
          <t>20(2)</t>
        </is>
      </c>
      <c r="B61" s="7" t="inlineStr">
        <is>
          <t>20</t>
        </is>
      </c>
      <c r="C61" s="7" t="inlineStr">
        <is>
          <t>DN-21</t>
        </is>
      </c>
      <c r="D61" s="7" t="inlineStr">
        <is>
          <t>Conveyance / Sale Deed (incl. Flat, Amalgamation, Machinery, Securitisation, TDR)</t>
        </is>
      </c>
      <c r="E61" s="7" t="inlineStr">
        <is>
          <t>Transfer of ownership / rights in property</t>
        </is>
      </c>
      <c r="F61" s="7" t="inlineStr">
        <is>
          <t>Conveyance of Flat / Apartment / Unit by promoter / developer, or share transfer for unit</t>
        </is>
      </c>
      <c r="G61" s="7" t="inlineStr">
        <is>
          <t>PRP-06 = Yes AND executant is promoter / land owner / developer OR transfer of share in co-op society / company</t>
        </is>
      </c>
      <c r="H61" s="7" t="inlineStr">
        <is>
          <t>PRP-06, GEN-05</t>
        </is>
      </c>
      <c r="I61" s="7" t="inlineStr">
        <is>
          <t>PRP-07, PRP-02</t>
        </is>
      </c>
      <c r="J61" s="7" t="inlineStr"/>
      <c r="K61" s="7" t="inlineStr">
        <is>
          <t>Same as other Article</t>
        </is>
      </c>
      <c r="L61" s="7" t="inlineStr">
        <is>
          <t>Same as 20(1) on MV of fully constructed flat / apartment / unit (deemed fully constructed)</t>
        </is>
      </c>
      <c r="M61" s="7" t="inlineStr"/>
      <c r="N61" s="7" t="inlineStr"/>
      <c r="O61" s="7" t="inlineStr"/>
      <c r="P61" s="7" t="inlineStr"/>
      <c r="Q61" s="11" t="inlineStr">
        <is>
          <t>Yes</t>
        </is>
      </c>
    </row>
    <row r="62">
      <c r="A62" s="10" t="inlineStr">
        <is>
          <t>20(3)</t>
        </is>
      </c>
      <c r="B62" s="7" t="inlineStr">
        <is>
          <t>20</t>
        </is>
      </c>
      <c r="C62" s="7" t="inlineStr">
        <is>
          <t>DN-21</t>
        </is>
      </c>
      <c r="D62" s="7" t="inlineStr">
        <is>
          <t>Conveyance / Sale Deed (incl. Flat, Amalgamation, Machinery, Securitisation, TDR)</t>
        </is>
      </c>
      <c r="E62" s="7" t="inlineStr">
        <is>
          <t>Transfer of ownership / rights in property</t>
        </is>
      </c>
      <c r="F62" s="7" t="inlineStr">
        <is>
          <t>Conveyance of Flat / Apartment by BDA / KHB</t>
        </is>
      </c>
      <c r="G62" s="7" t="inlineStr">
        <is>
          <t>PRP-06 = Yes AND executant = BDA / KHB</t>
        </is>
      </c>
      <c r="H62" s="7" t="inlineStr">
        <is>
          <t>PRP-06, GEN-05</t>
        </is>
      </c>
      <c r="I62" s="7" t="inlineStr">
        <is>
          <t>GEN-08</t>
        </is>
      </c>
      <c r="J62" s="7" t="inlineStr">
        <is>
          <t>GEN-12</t>
        </is>
      </c>
      <c r="K62" s="7" t="inlineStr">
        <is>
          <t>Same as other Article</t>
        </is>
      </c>
      <c r="L62" s="7" t="inlineStr">
        <is>
          <t>Rates of 20(2) on amount / value of consideration set forth</t>
        </is>
      </c>
      <c r="M62" s="7" t="inlineStr"/>
      <c r="N62" s="7" t="inlineStr"/>
      <c r="O62" s="7" t="inlineStr">
        <is>
          <t>If 5(da) lease-cum-sale stamped: max Rs.50 or difference, whichever greater</t>
        </is>
      </c>
      <c r="P62" s="7" t="inlineStr"/>
      <c r="Q62" s="7" t="inlineStr">
        <is>
          <t>No</t>
        </is>
      </c>
    </row>
    <row r="63">
      <c r="A63" s="10" t="inlineStr">
        <is>
          <t>20(4)(i)</t>
        </is>
      </c>
      <c r="B63" s="7" t="inlineStr">
        <is>
          <t>20</t>
        </is>
      </c>
      <c r="C63" s="7" t="inlineStr">
        <is>
          <t>DN-21</t>
        </is>
      </c>
      <c r="D63" s="7" t="inlineStr">
        <is>
          <t>Conveyance / Sale Deed (incl. Flat, Amalgamation, Machinery, Securitisation, TDR)</t>
        </is>
      </c>
      <c r="E63" s="7" t="inlineStr">
        <is>
          <t>Transfer of ownership / rights in property</t>
        </is>
      </c>
      <c r="F63" s="7" t="inlineStr">
        <is>
          <t>Amalgamation of companies (court / NCLT order)</t>
        </is>
      </c>
      <c r="G63" s="7" t="inlineStr">
        <is>
          <t>CMP-04 = Amalgamation</t>
        </is>
      </c>
      <c r="H63" s="7" t="inlineStr">
        <is>
          <t>CMP-04</t>
        </is>
      </c>
      <c r="I63" s="7" t="inlineStr">
        <is>
          <t>CMP-05, CMP-06, CMP-07</t>
        </is>
      </c>
      <c r="J63" s="7" t="inlineStr">
        <is>
          <t>CMP-08</t>
        </is>
      </c>
      <c r="K63" s="7" t="inlineStr">
        <is>
          <t>Ad valorem</t>
        </is>
      </c>
      <c r="L63" s="7" t="inlineStr">
        <is>
          <t>Higher of: 3% of MV of transferor's Karnataka property; OR 1% of aggregate value of shares + consideration</t>
        </is>
      </c>
      <c r="M63" s="7" t="inlineStr"/>
      <c r="N63" s="7" t="inlineStr"/>
      <c r="O63" s="7" t="inlineStr"/>
      <c r="P63" s="7" t="inlineStr">
        <is>
          <t>Amalgamation of sick companies under BIFR order (CMP-08)</t>
        </is>
      </c>
      <c r="Q63" s="7" t="inlineStr">
        <is>
          <t>No</t>
        </is>
      </c>
    </row>
    <row r="64">
      <c r="A64" s="10" t="inlineStr">
        <is>
          <t>20(4)(ii)</t>
        </is>
      </c>
      <c r="B64" s="7" t="inlineStr">
        <is>
          <t>20</t>
        </is>
      </c>
      <c r="C64" s="7" t="inlineStr">
        <is>
          <t>DN-21</t>
        </is>
      </c>
      <c r="D64" s="7" t="inlineStr">
        <is>
          <t>Conveyance / Sale Deed (incl. Flat, Amalgamation, Machinery, Securitisation, TDR)</t>
        </is>
      </c>
      <c r="E64" s="7" t="inlineStr">
        <is>
          <t>Transfer of ownership / rights in property</t>
        </is>
      </c>
      <c r="F64" s="7" t="inlineStr">
        <is>
          <t>Reconstruction / Demerger (court / NCLT order)</t>
        </is>
      </c>
      <c r="G64" s="7" t="inlineStr">
        <is>
          <t>CMP-04 = Reconstruction / Demerger</t>
        </is>
      </c>
      <c r="H64" s="7" t="inlineStr">
        <is>
          <t>CMP-04</t>
        </is>
      </c>
      <c r="I64" s="7" t="inlineStr">
        <is>
          <t>CMP-05, CMP-06, CMP-07</t>
        </is>
      </c>
      <c r="J64" s="7" t="inlineStr"/>
      <c r="K64" s="7" t="inlineStr">
        <is>
          <t>Ad valorem</t>
        </is>
      </c>
      <c r="L64" s="7" t="inlineStr">
        <is>
          <t>Higher of: 3% of MV of transferor's Karnataka property; OR 1% of aggregate value of shares + consideration</t>
        </is>
      </c>
      <c r="M64" s="7" t="inlineStr"/>
      <c r="N64" s="7" t="inlineStr"/>
      <c r="O64" s="7" t="inlineStr"/>
      <c r="P64" s="7" t="inlineStr"/>
      <c r="Q64" s="7" t="inlineStr">
        <is>
          <t>No</t>
        </is>
      </c>
    </row>
    <row r="65">
      <c r="A65" s="10" t="inlineStr">
        <is>
          <t>20(5)(i)</t>
        </is>
      </c>
      <c r="B65" s="7" t="inlineStr">
        <is>
          <t>20</t>
        </is>
      </c>
      <c r="C65" s="7" t="inlineStr">
        <is>
          <t>DN-21</t>
        </is>
      </c>
      <c r="D65" s="7" t="inlineStr">
        <is>
          <t>Conveyance / Sale Deed (incl. Flat, Amalgamation, Machinery, Securitisation, TDR)</t>
        </is>
      </c>
      <c r="E65" s="7" t="inlineStr">
        <is>
          <t>Transfer of ownership / rights in property</t>
        </is>
      </c>
      <c r="F65" s="7" t="inlineStr">
        <is>
          <t>Conveyance of industrial machinery - movable</t>
        </is>
      </c>
      <c r="G65" s="7" t="inlineStr">
        <is>
          <t>PRP-08 = Movable</t>
        </is>
      </c>
      <c r="H65" s="7" t="inlineStr">
        <is>
          <t>PRP-08</t>
        </is>
      </c>
      <c r="I65" s="7" t="inlineStr">
        <is>
          <t>GEN-08, GEN-09</t>
        </is>
      </c>
      <c r="J65" s="7" t="inlineStr"/>
      <c r="K65" s="7" t="inlineStr">
        <is>
          <t>Ad valorem</t>
        </is>
      </c>
      <c r="L65" s="7" t="inlineStr">
        <is>
          <t>3% of consideration or MV, whichever higher</t>
        </is>
      </c>
      <c r="M65" s="7" t="inlineStr"/>
      <c r="N65" s="7" t="inlineStr"/>
      <c r="O65" s="7" t="inlineStr"/>
      <c r="P65" s="7" t="inlineStr"/>
      <c r="Q65" s="7" t="inlineStr">
        <is>
          <t>No</t>
        </is>
      </c>
    </row>
    <row r="66">
      <c r="A66" s="10" t="inlineStr">
        <is>
          <t>20(5)(ii)</t>
        </is>
      </c>
      <c r="B66" s="7" t="inlineStr">
        <is>
          <t>20</t>
        </is>
      </c>
      <c r="C66" s="7" t="inlineStr">
        <is>
          <t>DN-21</t>
        </is>
      </c>
      <c r="D66" s="7" t="inlineStr">
        <is>
          <t>Conveyance / Sale Deed (incl. Flat, Amalgamation, Machinery, Securitisation, TDR)</t>
        </is>
      </c>
      <c r="E66" s="7" t="inlineStr">
        <is>
          <t>Transfer of ownership / rights in property</t>
        </is>
      </c>
      <c r="F66" s="7" t="inlineStr">
        <is>
          <t>Conveyance of industrial machinery - immovable</t>
        </is>
      </c>
      <c r="G66" s="7" t="inlineStr">
        <is>
          <t>PRP-08 = Immovable</t>
        </is>
      </c>
      <c r="H66" s="7" t="inlineStr">
        <is>
          <t>PRP-08</t>
        </is>
      </c>
      <c r="I66" s="7" t="inlineStr">
        <is>
          <t>GEN-08, GEN-09</t>
        </is>
      </c>
      <c r="J66" s="7" t="inlineStr"/>
      <c r="K66" s="7" t="inlineStr">
        <is>
          <t>Ad valorem</t>
        </is>
      </c>
      <c r="L66" s="7" t="inlineStr">
        <is>
          <t>5% of consideration or MV, whichever higher</t>
        </is>
      </c>
      <c r="M66" s="7" t="inlineStr"/>
      <c r="N66" s="7" t="inlineStr"/>
      <c r="O66" s="7" t="inlineStr"/>
      <c r="P66" s="7" t="inlineStr"/>
      <c r="Q66" s="7" t="inlineStr">
        <is>
          <t>No</t>
        </is>
      </c>
    </row>
    <row r="67">
      <c r="A67" s="10" t="inlineStr">
        <is>
          <t>20(6)</t>
        </is>
      </c>
      <c r="B67" s="7" t="inlineStr">
        <is>
          <t>20</t>
        </is>
      </c>
      <c r="C67" s="7" t="inlineStr">
        <is>
          <t>DN-21</t>
        </is>
      </c>
      <c r="D67" s="7" t="inlineStr">
        <is>
          <t>Conveyance / Sale Deed (incl. Flat, Amalgamation, Machinery, Securitisation, TDR)</t>
        </is>
      </c>
      <c r="E67" s="7" t="inlineStr">
        <is>
          <t>Transfer of ownership / rights in property</t>
        </is>
      </c>
      <c r="F67" s="7" t="inlineStr">
        <is>
          <t>Assignment of receivables to SPV (securitisation)</t>
        </is>
      </c>
      <c r="G67" s="7" t="inlineStr">
        <is>
          <t>PRP-01 = Receivables</t>
        </is>
      </c>
      <c r="H67" s="7" t="inlineStr">
        <is>
          <t>PRP-01</t>
        </is>
      </c>
      <c r="I67" s="7" t="inlineStr">
        <is>
          <t>CMP-10</t>
        </is>
      </c>
      <c r="J67" s="7" t="inlineStr"/>
      <c r="K67" s="7" t="inlineStr">
        <is>
          <t>Ad valorem</t>
        </is>
      </c>
      <c r="L67" s="7" t="inlineStr">
        <is>
          <t>Re. 1 for every Rs. 1,000 or part</t>
        </is>
      </c>
      <c r="M67" s="7" t="inlineStr"/>
      <c r="N67" s="7" t="inlineStr">
        <is>
          <t>Rs. 1,00,000</t>
        </is>
      </c>
      <c r="O67" s="7" t="inlineStr"/>
      <c r="P67" s="7" t="inlineStr"/>
      <c r="Q67" s="7" t="inlineStr">
        <is>
          <t>No</t>
        </is>
      </c>
    </row>
    <row r="68">
      <c r="A68" s="10" t="inlineStr">
        <is>
          <t>20(7)</t>
        </is>
      </c>
      <c r="B68" s="7" t="inlineStr">
        <is>
          <t>20</t>
        </is>
      </c>
      <c r="C68" s="7" t="inlineStr">
        <is>
          <t>DN-21</t>
        </is>
      </c>
      <c r="D68" s="7" t="inlineStr">
        <is>
          <t>Conveyance / Sale Deed (incl. Flat, Amalgamation, Machinery, Securitisation, TDR)</t>
        </is>
      </c>
      <c r="E68" s="7" t="inlineStr">
        <is>
          <t>Transfer of ownership / rights in property</t>
        </is>
      </c>
      <c r="F68" s="7" t="inlineStr">
        <is>
          <t>Conveyance of Transferable Development Rights</t>
        </is>
      </c>
      <c r="G68" s="7" t="inlineStr">
        <is>
          <t>PRP-01 = TDR</t>
        </is>
      </c>
      <c r="H68" s="7" t="inlineStr">
        <is>
          <t>PRP-01</t>
        </is>
      </c>
      <c r="I68" s="7" t="inlineStr">
        <is>
          <t>GEN-09, GEN-08</t>
        </is>
      </c>
      <c r="J68" s="7" t="inlineStr">
        <is>
          <t>POA-04</t>
        </is>
      </c>
      <c r="K68" s="7" t="inlineStr">
        <is>
          <t>Ad valorem</t>
        </is>
      </c>
      <c r="L68" s="7" t="inlineStr">
        <is>
          <t>3% on higher of MV of TDR (MV of corresponding portion of property) or consideration</t>
        </is>
      </c>
      <c r="M68" s="7" t="inlineStr"/>
      <c r="N68" s="7" t="inlineStr"/>
      <c r="O68" s="7" t="inlineStr">
        <is>
          <t>Adjust duty paid under 41(ec) POA between same parties</t>
        </is>
      </c>
      <c r="P68" s="7" t="inlineStr"/>
      <c r="Q68" s="11" t="inlineStr">
        <is>
          <t>Yes</t>
        </is>
      </c>
    </row>
    <row r="69">
      <c r="A69" s="10" t="inlineStr">
        <is>
          <t>21(i)</t>
        </is>
      </c>
      <c r="B69" s="7" t="inlineStr">
        <is>
          <t>21</t>
        </is>
      </c>
      <c r="C69" s="7" t="inlineStr">
        <is>
          <t>DN-22</t>
        </is>
      </c>
      <c r="D69" s="7" t="inlineStr">
        <is>
          <t>Certified Copy / Extract</t>
        </is>
      </c>
      <c r="E69" s="7" t="inlineStr">
        <is>
          <t>Declarations, certificates, copies and notarial instruments</t>
        </is>
      </c>
      <c r="F69" s="7" t="inlineStr">
        <is>
          <t>Certified copy - original not chargeable</t>
        </is>
      </c>
      <c r="G69" s="7" t="inlineStr">
        <is>
          <t>MSC-08: original not chargeable</t>
        </is>
      </c>
      <c r="H69" s="7" t="inlineStr">
        <is>
          <t>MSC-08</t>
        </is>
      </c>
      <c r="I69" s="7" t="inlineStr"/>
      <c r="J69" s="7" t="inlineStr"/>
      <c r="K69" s="7" t="inlineStr">
        <is>
          <t>Fixed</t>
        </is>
      </c>
      <c r="L69" s="7" t="inlineStr">
        <is>
          <t>Rs. 5</t>
        </is>
      </c>
      <c r="M69" s="7" t="inlineStr"/>
      <c r="N69" s="7" t="inlineStr"/>
      <c r="O69" s="7" t="inlineStr"/>
      <c r="P69" s="7" t="inlineStr">
        <is>
          <t>Copies required by law for public record; extracts of birth / marriage / death registers</t>
        </is>
      </c>
      <c r="Q69" s="7" t="inlineStr">
        <is>
          <t>No</t>
        </is>
      </c>
    </row>
    <row r="70">
      <c r="A70" s="10" t="inlineStr">
        <is>
          <t>21(ii)</t>
        </is>
      </c>
      <c r="B70" s="7" t="inlineStr">
        <is>
          <t>21</t>
        </is>
      </c>
      <c r="C70" s="7" t="inlineStr">
        <is>
          <t>DN-22</t>
        </is>
      </c>
      <c r="D70" s="7" t="inlineStr">
        <is>
          <t>Certified Copy / Extract</t>
        </is>
      </c>
      <c r="E70" s="7" t="inlineStr">
        <is>
          <t>Declarations, certificates, copies and notarial instruments</t>
        </is>
      </c>
      <c r="F70" s="7" t="inlineStr">
        <is>
          <t>Certified copy - other</t>
        </is>
      </c>
      <c r="G70" s="7" t="inlineStr">
        <is>
          <t>MSC-08: original chargeable</t>
        </is>
      </c>
      <c r="H70" s="7" t="inlineStr">
        <is>
          <t>MSC-08</t>
        </is>
      </c>
      <c r="I70" s="7" t="inlineStr"/>
      <c r="J70" s="7" t="inlineStr"/>
      <c r="K70" s="7" t="inlineStr">
        <is>
          <t>Fixed</t>
        </is>
      </c>
      <c r="L70" s="7" t="inlineStr">
        <is>
          <t>Rs. 10</t>
        </is>
      </c>
      <c r="M70" s="7" t="inlineStr"/>
      <c r="N70" s="7" t="inlineStr"/>
      <c r="O70" s="7" t="inlineStr"/>
      <c r="P70" s="7" t="inlineStr">
        <is>
          <t>As above</t>
        </is>
      </c>
      <c r="Q70" s="7" t="inlineStr">
        <is>
          <t>No</t>
        </is>
      </c>
    </row>
    <row r="71">
      <c r="A71" s="10" t="inlineStr">
        <is>
          <t>22(a)</t>
        </is>
      </c>
      <c r="B71" s="7" t="inlineStr">
        <is>
          <t>22</t>
        </is>
      </c>
      <c r="C71" s="7" t="inlineStr">
        <is>
          <t>DN-23</t>
        </is>
      </c>
      <c r="D71" s="7" t="inlineStr">
        <is>
          <t>Counterpart / Duplicate</t>
        </is>
      </c>
      <c r="E71" s="7" t="inlineStr">
        <is>
          <t>Declarations, certificates, copies and notarial instruments</t>
        </is>
      </c>
      <c r="F71" s="7" t="inlineStr">
        <is>
          <t>Counterpart / duplicate - original duty &lt;= Rs.500</t>
        </is>
      </c>
      <c r="G71" s="7" t="inlineStr">
        <is>
          <t>MSC-09 &lt;= 500</t>
        </is>
      </c>
      <c r="H71" s="7" t="inlineStr">
        <is>
          <t>MSC-09</t>
        </is>
      </c>
      <c r="I71" s="7" t="inlineStr">
        <is>
          <t>MSC-09</t>
        </is>
      </c>
      <c r="J71" s="7" t="inlineStr"/>
      <c r="K71" s="7" t="inlineStr">
        <is>
          <t>Same as other Article</t>
        </is>
      </c>
      <c r="L71" s="7" t="inlineStr">
        <is>
          <t>Same duty as payable on the original</t>
        </is>
      </c>
      <c r="M71" s="7" t="inlineStr"/>
      <c r="N71" s="7" t="inlineStr"/>
      <c r="O71" s="7" t="inlineStr"/>
      <c r="P71" s="7" t="inlineStr">
        <is>
          <t>Counterpart of exempt cultivator lease</t>
        </is>
      </c>
      <c r="Q71" s="7" t="inlineStr">
        <is>
          <t>No</t>
        </is>
      </c>
    </row>
    <row r="72">
      <c r="A72" s="10" t="inlineStr">
        <is>
          <t>22(b)</t>
        </is>
      </c>
      <c r="B72" s="7" t="inlineStr">
        <is>
          <t>22</t>
        </is>
      </c>
      <c r="C72" s="7" t="inlineStr">
        <is>
          <t>DN-23</t>
        </is>
      </c>
      <c r="D72" s="7" t="inlineStr">
        <is>
          <t>Counterpart / Duplicate</t>
        </is>
      </c>
      <c r="E72" s="7" t="inlineStr">
        <is>
          <t>Declarations, certificates, copies and notarial instruments</t>
        </is>
      </c>
      <c r="F72" s="7" t="inlineStr">
        <is>
          <t>Counterpart / duplicate - other</t>
        </is>
      </c>
      <c r="G72" s="7" t="inlineStr">
        <is>
          <t>MSC-09 &gt; 500</t>
        </is>
      </c>
      <c r="H72" s="7" t="inlineStr">
        <is>
          <t>MSC-09</t>
        </is>
      </c>
      <c r="I72" s="7" t="inlineStr"/>
      <c r="J72" s="7" t="inlineStr"/>
      <c r="K72" s="7" t="inlineStr">
        <is>
          <t>Fixed</t>
        </is>
      </c>
      <c r="L72" s="7" t="inlineStr">
        <is>
          <t>Rs. 500</t>
        </is>
      </c>
      <c r="M72" s="7" t="inlineStr"/>
      <c r="N72" s="7" t="inlineStr"/>
      <c r="O72" s="7" t="inlineStr"/>
      <c r="P72" s="7" t="inlineStr"/>
      <c r="Q72" s="7" t="inlineStr">
        <is>
          <t>No</t>
        </is>
      </c>
    </row>
    <row r="73">
      <c r="A73" s="10" t="inlineStr">
        <is>
          <t>23(a)</t>
        </is>
      </c>
      <c r="B73" s="7" t="inlineStr">
        <is>
          <t>23</t>
        </is>
      </c>
      <c r="C73" s="7" t="inlineStr">
        <is>
          <t>DN-24</t>
        </is>
      </c>
      <c r="D73" s="7" t="inlineStr">
        <is>
          <t>Customs / Excise Bond</t>
        </is>
      </c>
      <c r="E73" s="7" t="inlineStr">
        <is>
          <t>Bonds and guarantees</t>
        </is>
      </c>
      <c r="F73" s="7" t="inlineStr">
        <is>
          <t>Customs / Excise bond - amount &lt;= Rs.1,000</t>
        </is>
      </c>
      <c r="G73" s="7" t="inlineStr">
        <is>
          <t>MSC-01 &lt;= 1,000</t>
        </is>
      </c>
      <c r="H73" s="7" t="inlineStr">
        <is>
          <t>MSC-14, MSC-01</t>
        </is>
      </c>
      <c r="I73" s="7" t="inlineStr">
        <is>
          <t>MSC-01</t>
        </is>
      </c>
      <c r="J73" s="7" t="inlineStr"/>
      <c r="K73" s="7" t="inlineStr">
        <is>
          <t>Same as other Article</t>
        </is>
      </c>
      <c r="L73" s="7" t="inlineStr">
        <is>
          <t>Same as Bond (Art 12)</t>
        </is>
      </c>
      <c r="M73" s="7" t="inlineStr"/>
      <c r="N73" s="7" t="inlineStr"/>
      <c r="O73" s="7" t="inlineStr"/>
      <c r="P73" s="7" t="inlineStr"/>
      <c r="Q73" s="7" t="inlineStr">
        <is>
          <t>No</t>
        </is>
      </c>
    </row>
    <row r="74">
      <c r="A74" s="10" t="inlineStr">
        <is>
          <t>23(b)</t>
        </is>
      </c>
      <c r="B74" s="7" t="inlineStr">
        <is>
          <t>23</t>
        </is>
      </c>
      <c r="C74" s="7" t="inlineStr">
        <is>
          <t>DN-24</t>
        </is>
      </c>
      <c r="D74" s="7" t="inlineStr">
        <is>
          <t>Customs / Excise Bond</t>
        </is>
      </c>
      <c r="E74" s="7" t="inlineStr">
        <is>
          <t>Bonds and guarantees</t>
        </is>
      </c>
      <c r="F74" s="7" t="inlineStr">
        <is>
          <t>Customs / Excise bond - other</t>
        </is>
      </c>
      <c r="G74" s="7" t="inlineStr">
        <is>
          <t>MSC-01 &gt; 1,000</t>
        </is>
      </c>
      <c r="H74" s="7" t="inlineStr">
        <is>
          <t>MSC-14, MSC-01</t>
        </is>
      </c>
      <c r="I74" s="7" t="inlineStr"/>
      <c r="J74" s="7" t="inlineStr"/>
      <c r="K74" s="7" t="inlineStr">
        <is>
          <t>Fixed</t>
        </is>
      </c>
      <c r="L74" s="7" t="inlineStr">
        <is>
          <t>Rs. 100</t>
        </is>
      </c>
      <c r="M74" s="7" t="inlineStr"/>
      <c r="N74" s="7" t="inlineStr"/>
      <c r="O74" s="7" t="inlineStr"/>
      <c r="P74" s="7" t="inlineStr"/>
      <c r="Q74" s="7" t="inlineStr">
        <is>
          <t>No</t>
        </is>
      </c>
    </row>
    <row r="75">
      <c r="A75" s="10" t="inlineStr">
        <is>
          <t>24</t>
        </is>
      </c>
      <c r="B75" s="7" t="inlineStr">
        <is>
          <t>24</t>
        </is>
      </c>
      <c r="C75" s="7" t="inlineStr">
        <is>
          <t>DN-25</t>
        </is>
      </c>
      <c r="D75" s="7" t="inlineStr">
        <is>
          <t>Delivery Order (Goods)</t>
        </is>
      </c>
      <c r="E75" s="7" t="inlineStr">
        <is>
          <t>Shipping, goods and trade documents</t>
        </is>
      </c>
      <c r="F75" s="7" t="inlineStr">
        <is>
          <t>Delivery order in respect of goods</t>
        </is>
      </c>
      <c r="G75" s="7" t="inlineStr">
        <is>
          <t>Nature of document selected (no further condition)</t>
        </is>
      </c>
      <c r="H75" s="7" t="inlineStr">
        <is>
          <t>MSC-10</t>
        </is>
      </c>
      <c r="I75" s="7" t="inlineStr">
        <is>
          <t>PRP-10</t>
        </is>
      </c>
      <c r="J75" s="7" t="inlineStr"/>
      <c r="K75" s="7" t="inlineStr">
        <is>
          <t>Ad valorem</t>
        </is>
      </c>
      <c r="L75" s="7" t="inlineStr">
        <is>
          <t>Re. 1 for every Rs. 1,000 or part of value of goods</t>
        </is>
      </c>
      <c r="M75" s="7" t="inlineStr"/>
      <c r="N75" s="7" t="inlineStr"/>
      <c r="O75" s="7" t="inlineStr"/>
      <c r="P75" s="7" t="inlineStr">
        <is>
          <t>Imported goods exempt from customs duty</t>
        </is>
      </c>
      <c r="Q75" s="7" t="inlineStr">
        <is>
          <t>No</t>
        </is>
      </c>
    </row>
    <row r="76">
      <c r="A76" s="10" t="inlineStr">
        <is>
          <t>25</t>
        </is>
      </c>
      <c r="B76" s="7" t="inlineStr">
        <is>
          <t>25</t>
        </is>
      </c>
      <c r="C76" s="7" t="inlineStr">
        <is>
          <t>DN-26</t>
        </is>
      </c>
      <c r="D76" s="7" t="inlineStr">
        <is>
          <t>Divorce Instrument</t>
        </is>
      </c>
      <c r="E76" s="7" t="inlineStr">
        <is>
          <t>Personal / family status (adoption, divorce)</t>
        </is>
      </c>
      <c r="F76" s="7" t="inlineStr">
        <is>
          <t>Instrument of divorce</t>
        </is>
      </c>
      <c r="G76" s="7" t="inlineStr">
        <is>
          <t>Nature of document selected (no further condition)</t>
        </is>
      </c>
      <c r="H76" s="7" t="inlineStr"/>
      <c r="I76" s="7" t="inlineStr"/>
      <c r="J76" s="7" t="inlineStr"/>
      <c r="K76" s="7" t="inlineStr">
        <is>
          <t>Fixed</t>
        </is>
      </c>
      <c r="L76" s="7" t="inlineStr">
        <is>
          <t>Rs. 100</t>
        </is>
      </c>
      <c r="M76" s="7" t="inlineStr"/>
      <c r="N76" s="7" t="inlineStr"/>
      <c r="O76" s="7" t="inlineStr"/>
      <c r="P76" s="7" t="inlineStr"/>
      <c r="Q76" s="7" t="inlineStr">
        <is>
          <t>No</t>
        </is>
      </c>
    </row>
    <row r="77">
      <c r="A77" s="10" t="inlineStr">
        <is>
          <t>26</t>
        </is>
      </c>
      <c r="B77" s="7" t="inlineStr">
        <is>
          <t>26</t>
        </is>
      </c>
      <c r="C77" s="7" t="inlineStr">
        <is>
          <t>DN-27</t>
        </is>
      </c>
      <c r="D77" s="7" t="inlineStr">
        <is>
          <t>Exchange of Property</t>
        </is>
      </c>
      <c r="E77" s="7" t="inlineStr">
        <is>
          <t>Transfer of ownership / rights in property</t>
        </is>
      </c>
      <c r="F77" s="7" t="inlineStr">
        <is>
          <t>Exchange of property</t>
        </is>
      </c>
      <c r="G77" s="7" t="inlineStr">
        <is>
          <t>Nature of document selected (no further condition)</t>
        </is>
      </c>
      <c r="H77" s="7" t="inlineStr">
        <is>
          <t>PRP-01</t>
        </is>
      </c>
      <c r="I77" s="7" t="inlineStr">
        <is>
          <t>PRP-09</t>
        </is>
      </c>
      <c r="J77" s="7" t="inlineStr"/>
      <c r="K77" s="7" t="inlineStr">
        <is>
          <t>Same as other Article</t>
        </is>
      </c>
      <c r="L77" s="7" t="inlineStr">
        <is>
          <t>Same as Conveyance (Art 20) on MV of the property of greatest value exchanged</t>
        </is>
      </c>
      <c r="M77" s="7" t="inlineStr"/>
      <c r="N77" s="7" t="inlineStr"/>
      <c r="O77" s="7" t="inlineStr"/>
      <c r="P77" s="7" t="inlineStr"/>
      <c r="Q77" s="11" t="inlineStr">
        <is>
          <t>Yes</t>
        </is>
      </c>
    </row>
    <row r="78">
      <c r="A78" s="10" t="inlineStr">
        <is>
          <t>27(a)</t>
        </is>
      </c>
      <c r="B78" s="7" t="inlineStr">
        <is>
          <t>27</t>
        </is>
      </c>
      <c r="C78" s="7" t="inlineStr">
        <is>
          <t>DN-28</t>
        </is>
      </c>
      <c r="D78" s="7" t="inlineStr">
        <is>
          <t>Further Charge on Mortgaged Property</t>
        </is>
      </c>
      <c r="E78" s="7" t="inlineStr">
        <is>
          <t>Security for loan / debt (mortgage, pledge, hypothecation, charge)</t>
        </is>
      </c>
      <c r="F78" s="7" t="inlineStr">
        <is>
          <t>Further charge - original mortgage with possession</t>
        </is>
      </c>
      <c r="G78" s="7" t="inlineStr">
        <is>
          <t>LON-06 = With possession</t>
        </is>
      </c>
      <c r="H78" s="7" t="inlineStr">
        <is>
          <t>LON-06</t>
        </is>
      </c>
      <c r="I78" s="7" t="inlineStr">
        <is>
          <t>LON-01</t>
        </is>
      </c>
      <c r="J78" s="7" t="inlineStr"/>
      <c r="K78" s="7" t="inlineStr">
        <is>
          <t>Same as other Article</t>
        </is>
      </c>
      <c r="L78" s="7" t="inlineStr">
        <is>
          <t>Same as Conveyance (Art 20) on amount of further charge</t>
        </is>
      </c>
      <c r="M78" s="7" t="inlineStr"/>
      <c r="N78" s="7" t="inlineStr"/>
      <c r="O78" s="7" t="inlineStr"/>
      <c r="P78" s="7" t="inlineStr"/>
      <c r="Q78" s="7" t="inlineStr">
        <is>
          <t>No</t>
        </is>
      </c>
    </row>
    <row r="79">
      <c r="A79" s="10" t="inlineStr">
        <is>
          <t>27(b)(i)</t>
        </is>
      </c>
      <c r="B79" s="7" t="inlineStr">
        <is>
          <t>27</t>
        </is>
      </c>
      <c r="C79" s="7" t="inlineStr">
        <is>
          <t>DN-28</t>
        </is>
      </c>
      <c r="D79" s="7" t="inlineStr">
        <is>
          <t>Further Charge on Mortgaged Property</t>
        </is>
      </c>
      <c r="E79" s="7" t="inlineStr">
        <is>
          <t>Security for loan / debt (mortgage, pledge, hypothecation, charge)</t>
        </is>
      </c>
      <c r="F79" s="7" t="inlineStr">
        <is>
          <t>Further charge - original without possession; possession now given</t>
        </is>
      </c>
      <c r="G79" s="7" t="inlineStr">
        <is>
          <t>LON-06 = Without possession AND LON-07 = Possession given</t>
        </is>
      </c>
      <c r="H79" s="7" t="inlineStr">
        <is>
          <t>LON-06, LON-07</t>
        </is>
      </c>
      <c r="I79" s="7" t="inlineStr">
        <is>
          <t>LON-08</t>
        </is>
      </c>
      <c r="J79" s="7" t="inlineStr"/>
      <c r="K79" s="7" t="inlineStr">
        <is>
          <t>Same as other Article</t>
        </is>
      </c>
      <c r="L79" s="7" t="inlineStr">
        <is>
          <t>Conveyance (Art 20) on total charge (original + earlier + this) less duty already paid</t>
        </is>
      </c>
      <c r="M79" s="7" t="inlineStr"/>
      <c r="N79" s="7" t="inlineStr"/>
      <c r="O79" s="7" t="inlineStr"/>
      <c r="P79" s="7" t="inlineStr"/>
      <c r="Q79" s="7" t="inlineStr">
        <is>
          <t>No</t>
        </is>
      </c>
    </row>
    <row r="80">
      <c r="A80" s="10" t="inlineStr">
        <is>
          <t>27(b)(ii)</t>
        </is>
      </c>
      <c r="B80" s="7" t="inlineStr">
        <is>
          <t>27</t>
        </is>
      </c>
      <c r="C80" s="7" t="inlineStr">
        <is>
          <t>DN-28</t>
        </is>
      </c>
      <c r="D80" s="7" t="inlineStr">
        <is>
          <t>Further Charge on Mortgaged Property</t>
        </is>
      </c>
      <c r="E80" s="7" t="inlineStr">
        <is>
          <t>Security for loan / debt (mortgage, pledge, hypothecation, charge)</t>
        </is>
      </c>
      <c r="F80" s="7" t="inlineStr">
        <is>
          <t>Further charge - without possession, not hypothecation</t>
        </is>
      </c>
      <c r="G80" s="7" t="inlineStr">
        <is>
          <t>LON-06 = Without possession AND LON-07 = Possession not given</t>
        </is>
      </c>
      <c r="H80" s="7" t="inlineStr">
        <is>
          <t>LON-06, LON-07</t>
        </is>
      </c>
      <c r="I80" s="7" t="inlineStr">
        <is>
          <t>LON-01</t>
        </is>
      </c>
      <c r="J80" s="7" t="inlineStr"/>
      <c r="K80" s="7" t="inlineStr">
        <is>
          <t>Ad valorem</t>
        </is>
      </c>
      <c r="L80" s="7" t="inlineStr">
        <is>
          <t>50 paise per Rs. 100 (0.5%) on amount of further charge</t>
        </is>
      </c>
      <c r="M80" s="7" t="inlineStr"/>
      <c r="N80" s="7" t="inlineStr"/>
      <c r="O80" s="7" t="inlineStr"/>
      <c r="P80" s="7" t="inlineStr"/>
      <c r="Q80" s="7" t="inlineStr">
        <is>
          <t>No</t>
        </is>
      </c>
    </row>
    <row r="81">
      <c r="A81" s="10" t="inlineStr">
        <is>
          <t>27(b)(iii)</t>
        </is>
      </c>
      <c r="B81" s="7" t="inlineStr">
        <is>
          <t>27</t>
        </is>
      </c>
      <c r="C81" s="7" t="inlineStr">
        <is>
          <t>DN-28</t>
        </is>
      </c>
      <c r="D81" s="7" t="inlineStr">
        <is>
          <t>Further Charge on Mortgaged Property</t>
        </is>
      </c>
      <c r="E81" s="7" t="inlineStr">
        <is>
          <t>Security for loan / debt (mortgage, pledge, hypothecation, charge)</t>
        </is>
      </c>
      <c r="F81" s="7" t="inlineStr">
        <is>
          <t>Further charge - hypothecation</t>
        </is>
      </c>
      <c r="G81" s="7" t="inlineStr">
        <is>
          <t>LON-06 = Without possession AND LON-07 = Hypothecation</t>
        </is>
      </c>
      <c r="H81" s="7" t="inlineStr">
        <is>
          <t>LON-06, LON-07</t>
        </is>
      </c>
      <c r="I81" s="7" t="inlineStr">
        <is>
          <t>LON-01</t>
        </is>
      </c>
      <c r="J81" s="7" t="inlineStr"/>
      <c r="K81" s="7" t="inlineStr">
        <is>
          <t>Same as other Article</t>
        </is>
      </c>
      <c r="L81" s="7" t="inlineStr">
        <is>
          <t>Same as 34(d) on amount of further charge</t>
        </is>
      </c>
      <c r="M81" s="7" t="inlineStr"/>
      <c r="N81" s="7" t="inlineStr"/>
      <c r="O81" s="7" t="inlineStr"/>
      <c r="P81" s="7" t="inlineStr"/>
      <c r="Q81" s="7" t="inlineStr">
        <is>
          <t>No</t>
        </is>
      </c>
    </row>
    <row r="82">
      <c r="A82" s="10" t="inlineStr">
        <is>
          <t>28(a)</t>
        </is>
      </c>
      <c r="B82" s="7" t="inlineStr">
        <is>
          <t>28</t>
        </is>
      </c>
      <c r="C82" s="7" t="inlineStr">
        <is>
          <t>DN-29</t>
        </is>
      </c>
      <c r="D82" s="7" t="inlineStr">
        <is>
          <t>Gift Deed</t>
        </is>
      </c>
      <c r="E82" s="7" t="inlineStr">
        <is>
          <t>Transfer of ownership / rights in property</t>
        </is>
      </c>
      <c r="F82" s="7" t="inlineStr">
        <is>
          <t>Gift - donee not a family member</t>
        </is>
      </c>
      <c r="G82" s="7" t="inlineStr">
        <is>
          <t>GEN-07 not in Family_Definitions[28(b)]</t>
        </is>
      </c>
      <c r="H82" s="7" t="inlineStr">
        <is>
          <t>GEN-07</t>
        </is>
      </c>
      <c r="I82" s="7" t="inlineStr">
        <is>
          <t>GEN-09, GFT-01, PRP-02</t>
        </is>
      </c>
      <c r="J82" s="7" t="inlineStr"/>
      <c r="K82" s="7" t="inlineStr">
        <is>
          <t>Same as other Article</t>
        </is>
      </c>
      <c r="L82" s="7" t="inlineStr">
        <is>
          <t>Same as Conveyance (Art 20) on MV of the gifted property</t>
        </is>
      </c>
      <c r="M82" s="7" t="inlineStr"/>
      <c r="N82" s="7" t="inlineStr"/>
      <c r="O82" s="7" t="inlineStr">
        <is>
          <t>Revocation clause ignored for valuation</t>
        </is>
      </c>
      <c r="P82" s="7" t="inlineStr"/>
      <c r="Q82" s="11" t="inlineStr">
        <is>
          <t>Yes</t>
        </is>
      </c>
    </row>
    <row r="83">
      <c r="A83" s="10" t="inlineStr">
        <is>
          <t>28(b)</t>
        </is>
      </c>
      <c r="B83" s="7" t="inlineStr">
        <is>
          <t>28</t>
        </is>
      </c>
      <c r="C83" s="7" t="inlineStr">
        <is>
          <t>DN-29</t>
        </is>
      </c>
      <c r="D83" s="7" t="inlineStr">
        <is>
          <t>Gift Deed</t>
        </is>
      </c>
      <c r="E83" s="7" t="inlineStr">
        <is>
          <t>Transfer of ownership / rights in property</t>
        </is>
      </c>
      <c r="F83" s="7" t="inlineStr">
        <is>
          <t>Gift - donee is a family member</t>
        </is>
      </c>
      <c r="G83" s="7" t="inlineStr">
        <is>
          <t>GEN-07 in Family_Definitions[28(b)]</t>
        </is>
      </c>
      <c r="H83" s="7" t="inlineStr">
        <is>
          <t>GEN-07</t>
        </is>
      </c>
      <c r="I83" s="7" t="inlineStr">
        <is>
          <t>PRP-03, PRP-02</t>
        </is>
      </c>
      <c r="J83" s="7" t="inlineStr"/>
      <c r="K83" s="7" t="inlineStr">
        <is>
          <t>Slab</t>
        </is>
      </c>
      <c r="L83" s="7" t="inlineStr">
        <is>
          <t>LL-1: Rs. 5,000; LL-2: Rs. 3,000; LL-3: Rs. 1,000 (if multiple limits, the maximum)</t>
        </is>
      </c>
      <c r="M83" s="7" t="inlineStr"/>
      <c r="N83" s="7" t="inlineStr"/>
      <c r="O83" s="7" t="inlineStr"/>
      <c r="P83" s="7" t="inlineStr"/>
      <c r="Q83" s="7" t="inlineStr">
        <is>
          <t>No</t>
        </is>
      </c>
    </row>
    <row r="84">
      <c r="A84" s="10" t="inlineStr">
        <is>
          <t>29</t>
        </is>
      </c>
      <c r="B84" s="7" t="inlineStr">
        <is>
          <t>29</t>
        </is>
      </c>
      <c r="C84" s="7" t="inlineStr">
        <is>
          <t>DN-30</t>
        </is>
      </c>
      <c r="D84" s="7" t="inlineStr">
        <is>
          <t>Indemnity Bond</t>
        </is>
      </c>
      <c r="E84" s="7" t="inlineStr">
        <is>
          <t>Bonds and guarantees</t>
        </is>
      </c>
      <c r="F84" s="7" t="inlineStr">
        <is>
          <t>Indemnity bond</t>
        </is>
      </c>
      <c r="G84" s="7" t="inlineStr">
        <is>
          <t>Nature of document selected (no further condition)</t>
        </is>
      </c>
      <c r="H84" s="7" t="inlineStr"/>
      <c r="I84" s="7" t="inlineStr">
        <is>
          <t>MSC-01</t>
        </is>
      </c>
      <c r="J84" s="7" t="inlineStr"/>
      <c r="K84" s="7" t="inlineStr">
        <is>
          <t>Same as other Article</t>
        </is>
      </c>
      <c r="L84" s="7" t="inlineStr">
        <is>
          <t>Same as Security Bond (Art 47) for same amount</t>
        </is>
      </c>
      <c r="M84" s="7" t="inlineStr"/>
      <c r="N84" s="7" t="inlineStr"/>
      <c r="O84" s="7" t="inlineStr"/>
      <c r="P84" s="7" t="inlineStr"/>
      <c r="Q84" s="7" t="inlineStr">
        <is>
          <t>No</t>
        </is>
      </c>
    </row>
    <row r="85">
      <c r="A85" s="10" t="inlineStr">
        <is>
          <t>30(1)(i)</t>
        </is>
      </c>
      <c r="B85" s="7" t="inlineStr">
        <is>
          <t>30</t>
        </is>
      </c>
      <c r="C85" s="7" t="inlineStr">
        <is>
          <t>DN-31</t>
        </is>
      </c>
      <c r="D85" s="7" t="inlineStr">
        <is>
          <t>Lease (incl. Sub-lease, Agreement to Let, Mining Lease / MDPA)</t>
        </is>
      </c>
      <c r="E85" s="7" t="inlineStr">
        <is>
          <t>Right to use property (lease / licence / hire)</t>
        </is>
      </c>
      <c r="F85" s="7" t="inlineStr">
        <is>
          <t>Lease of immovable - up to 1 year, residential</t>
        </is>
      </c>
      <c r="G85" s="7" t="inlineStr">
        <is>
          <t>PRP-01 = Immovable AND LSE-02 &lt;= 1 yr AND PRP-04 = Residential AND GEN-07 not family [30(1)]</t>
        </is>
      </c>
      <c r="H85" s="7" t="inlineStr">
        <is>
          <t>PRP-01, LSE-01, LSE-02, PRP-04, GEN-07</t>
        </is>
      </c>
      <c r="I85" s="7" t="inlineStr">
        <is>
          <t>LSE-03, LSE-04, LSE-05</t>
        </is>
      </c>
      <c r="J85" s="7" t="inlineStr">
        <is>
          <t>LSE-06</t>
        </is>
      </c>
      <c r="K85" s="7" t="inlineStr">
        <is>
          <t>Ad valorem</t>
        </is>
      </c>
      <c r="L85" s="7" t="inlineStr">
        <is>
          <t>0.5% on (average annual rent + premium + fine + money advanced)</t>
        </is>
      </c>
      <c r="M85" s="7" t="inlineStr"/>
      <c r="N85" s="7" t="inlineStr">
        <is>
          <t>Rs. 500</t>
        </is>
      </c>
      <c r="O85" s="7" t="inlineStr">
        <is>
          <t>Agreement to lease already stamped ad valorem: max Rs.50 (LSE-06)</t>
        </is>
      </c>
      <c r="P85" s="7" t="inlineStr"/>
      <c r="Q85" s="7" t="inlineStr">
        <is>
          <t>No</t>
        </is>
      </c>
    </row>
    <row r="86">
      <c r="A86" s="10" t="inlineStr">
        <is>
          <t>30(1)(ii)</t>
        </is>
      </c>
      <c r="B86" s="7" t="inlineStr">
        <is>
          <t>30</t>
        </is>
      </c>
      <c r="C86" s="7" t="inlineStr">
        <is>
          <t>DN-31</t>
        </is>
      </c>
      <c r="D86" s="7" t="inlineStr">
        <is>
          <t>Lease (incl. Sub-lease, Agreement to Let, Mining Lease / MDPA)</t>
        </is>
      </c>
      <c r="E86" s="7" t="inlineStr">
        <is>
          <t>Right to use property (lease / licence / hire)</t>
        </is>
      </c>
      <c r="F86" s="7" t="inlineStr">
        <is>
          <t>Lease of immovable - up to 1 year, commercial / industrial</t>
        </is>
      </c>
      <c r="G86" s="7" t="inlineStr">
        <is>
          <t>PRP-01 = Immovable AND LSE-02 &lt;= 1 yr AND PRP-04 in (Commercial, Industrial)</t>
        </is>
      </c>
      <c r="H86" s="7" t="inlineStr">
        <is>
          <t>PRP-01, LSE-01, LSE-02, PRP-04, GEN-07</t>
        </is>
      </c>
      <c r="I86" s="7" t="inlineStr">
        <is>
          <t>LSE-03, LSE-04, LSE-05</t>
        </is>
      </c>
      <c r="J86" s="7" t="inlineStr">
        <is>
          <t>LSE-06</t>
        </is>
      </c>
      <c r="K86" s="7" t="inlineStr">
        <is>
          <t>Ad valorem</t>
        </is>
      </c>
      <c r="L86" s="7" t="inlineStr">
        <is>
          <t>0.5% on (AAR + premium + fine + money advanced)</t>
        </is>
      </c>
      <c r="M86" s="7" t="inlineStr"/>
      <c r="N86" s="7" t="inlineStr"/>
      <c r="O86" s="7" t="inlineStr">
        <is>
          <t>Agreement to lease stamped: max Rs.50</t>
        </is>
      </c>
      <c r="P86" s="7" t="inlineStr"/>
      <c r="Q86" s="7" t="inlineStr">
        <is>
          <t>No</t>
        </is>
      </c>
    </row>
    <row r="87">
      <c r="A87" s="10" t="inlineStr">
        <is>
          <t>30(1)(iii)</t>
        </is>
      </c>
      <c r="B87" s="7" t="inlineStr">
        <is>
          <t>30</t>
        </is>
      </c>
      <c r="C87" s="7" t="inlineStr">
        <is>
          <t>DN-31</t>
        </is>
      </c>
      <c r="D87" s="7" t="inlineStr">
        <is>
          <t>Lease (incl. Sub-lease, Agreement to Let, Mining Lease / MDPA)</t>
        </is>
      </c>
      <c r="E87" s="7" t="inlineStr">
        <is>
          <t>Right to use property (lease / licence / hire)</t>
        </is>
      </c>
      <c r="F87" s="7" t="inlineStr">
        <is>
          <t>Lease of immovable - &gt;1 to 10 years</t>
        </is>
      </c>
      <c r="G87" s="7" t="inlineStr">
        <is>
          <t>LSE-02 &gt; 1 and &lt;= 10</t>
        </is>
      </c>
      <c r="H87" s="7" t="inlineStr">
        <is>
          <t>PRP-01, LSE-01, LSE-02, GEN-07</t>
        </is>
      </c>
      <c r="I87" s="7" t="inlineStr">
        <is>
          <t>LSE-03, LSE-04, LSE-05</t>
        </is>
      </c>
      <c r="J87" s="7" t="inlineStr">
        <is>
          <t>LSE-06</t>
        </is>
      </c>
      <c r="K87" s="7" t="inlineStr">
        <is>
          <t>Ad valorem</t>
        </is>
      </c>
      <c r="L87" s="7" t="inlineStr">
        <is>
          <t>1% on (AAR + premium + fine + money advanced)</t>
        </is>
      </c>
      <c r="M87" s="7" t="inlineStr"/>
      <c r="N87" s="7" t="inlineStr"/>
      <c r="O87" s="7" t="inlineStr">
        <is>
          <t>Agreement to lease stamped: max Rs.50</t>
        </is>
      </c>
      <c r="P87" s="7" t="inlineStr"/>
      <c r="Q87" s="7" t="inlineStr">
        <is>
          <t>No</t>
        </is>
      </c>
    </row>
    <row r="88">
      <c r="A88" s="10" t="inlineStr">
        <is>
          <t>30(1)(iv)</t>
        </is>
      </c>
      <c r="B88" s="7" t="inlineStr">
        <is>
          <t>30</t>
        </is>
      </c>
      <c r="C88" s="7" t="inlineStr">
        <is>
          <t>DN-31</t>
        </is>
      </c>
      <c r="D88" s="7" t="inlineStr">
        <is>
          <t>Lease (incl. Sub-lease, Agreement to Let, Mining Lease / MDPA)</t>
        </is>
      </c>
      <c r="E88" s="7" t="inlineStr">
        <is>
          <t>Right to use property (lease / licence / hire)</t>
        </is>
      </c>
      <c r="F88" s="7" t="inlineStr">
        <is>
          <t>Lease of immovable - &gt;10 to 20 years</t>
        </is>
      </c>
      <c r="G88" s="7" t="inlineStr">
        <is>
          <t>LSE-02 &gt; 10 and &lt;= 20</t>
        </is>
      </c>
      <c r="H88" s="7" t="inlineStr">
        <is>
          <t>PRP-01, LSE-01, LSE-02, GEN-07</t>
        </is>
      </c>
      <c r="I88" s="7" t="inlineStr">
        <is>
          <t>LSE-03, LSE-04, LSE-05</t>
        </is>
      </c>
      <c r="J88" s="7" t="inlineStr">
        <is>
          <t>LSE-06</t>
        </is>
      </c>
      <c r="K88" s="7" t="inlineStr">
        <is>
          <t>Ad valorem</t>
        </is>
      </c>
      <c r="L88" s="7" t="inlineStr">
        <is>
          <t>2% on (AAR + premium + fine + money advanced)</t>
        </is>
      </c>
      <c r="M88" s="7" t="inlineStr"/>
      <c r="N88" s="7" t="inlineStr"/>
      <c r="O88" s="7" t="inlineStr">
        <is>
          <t>Agreement to lease stamped: max Rs.50</t>
        </is>
      </c>
      <c r="P88" s="7" t="inlineStr"/>
      <c r="Q88" s="7" t="inlineStr">
        <is>
          <t>No</t>
        </is>
      </c>
    </row>
    <row r="89">
      <c r="A89" s="10" t="inlineStr">
        <is>
          <t>30(1)(v)</t>
        </is>
      </c>
      <c r="B89" s="7" t="inlineStr">
        <is>
          <t>30</t>
        </is>
      </c>
      <c r="C89" s="7" t="inlineStr">
        <is>
          <t>DN-31</t>
        </is>
      </c>
      <c r="D89" s="7" t="inlineStr">
        <is>
          <t>Lease (incl. Sub-lease, Agreement to Let, Mining Lease / MDPA)</t>
        </is>
      </c>
      <c r="E89" s="7" t="inlineStr">
        <is>
          <t>Right to use property (lease / licence / hire)</t>
        </is>
      </c>
      <c r="F89" s="7" t="inlineStr">
        <is>
          <t>Lease of immovable - &gt;20 to 30 years</t>
        </is>
      </c>
      <c r="G89" s="7" t="inlineStr">
        <is>
          <t>LSE-02 &gt; 20 and &lt;= 30</t>
        </is>
      </c>
      <c r="H89" s="7" t="inlineStr">
        <is>
          <t>PRP-01, LSE-01, LSE-02, GEN-07</t>
        </is>
      </c>
      <c r="I89" s="7" t="inlineStr">
        <is>
          <t>LSE-03, LSE-04, LSE-05</t>
        </is>
      </c>
      <c r="J89" s="7" t="inlineStr">
        <is>
          <t>LSE-06</t>
        </is>
      </c>
      <c r="K89" s="7" t="inlineStr">
        <is>
          <t>Ad valorem</t>
        </is>
      </c>
      <c r="L89" s="7" t="inlineStr">
        <is>
          <t>3% on (AAR + premium + fine + money advanced)</t>
        </is>
      </c>
      <c r="M89" s="7" t="inlineStr"/>
      <c r="N89" s="7" t="inlineStr"/>
      <c r="O89" s="7" t="inlineStr">
        <is>
          <t>Agreement to lease stamped: max Rs.50</t>
        </is>
      </c>
      <c r="P89" s="7" t="inlineStr"/>
      <c r="Q89" s="7" t="inlineStr">
        <is>
          <t>No</t>
        </is>
      </c>
    </row>
    <row r="90">
      <c r="A90" s="10" t="inlineStr">
        <is>
          <t>30(1)(vi)</t>
        </is>
      </c>
      <c r="B90" s="7" t="inlineStr">
        <is>
          <t>30</t>
        </is>
      </c>
      <c r="C90" s="7" t="inlineStr">
        <is>
          <t>DN-31</t>
        </is>
      </c>
      <c r="D90" s="7" t="inlineStr">
        <is>
          <t>Lease (incl. Sub-lease, Agreement to Let, Mining Lease / MDPA)</t>
        </is>
      </c>
      <c r="E90" s="7" t="inlineStr">
        <is>
          <t>Right to use property (lease / licence / hire)</t>
        </is>
      </c>
      <c r="F90" s="7" t="inlineStr">
        <is>
          <t>Lease of immovable - &gt;30 years / perpetual / indefinite</t>
        </is>
      </c>
      <c r="G90" s="7" t="inlineStr">
        <is>
          <t>LSE-02 &gt; 30 OR Perpetual OR no definite term</t>
        </is>
      </c>
      <c r="H90" s="7" t="inlineStr">
        <is>
          <t>PRP-01, LSE-01, LSE-02, GEN-07</t>
        </is>
      </c>
      <c r="I90" s="7" t="inlineStr">
        <is>
          <t>LSE-03, LSE-04, LSE-05, GEN-09</t>
        </is>
      </c>
      <c r="J90" s="7" t="inlineStr">
        <is>
          <t>LSE-06</t>
        </is>
      </c>
      <c r="K90" s="7" t="inlineStr">
        <is>
          <t>Same as other Article</t>
        </is>
      </c>
      <c r="L90" s="7" t="inlineStr">
        <is>
          <t>Same as Conveyance 20(1) on higher of (AAR + fine + premium + money advanced) or MV of property</t>
        </is>
      </c>
      <c r="M90" s="7" t="inlineStr"/>
      <c r="N90" s="7" t="inlineStr"/>
      <c r="O90" s="7" t="inlineStr">
        <is>
          <t>Agreement to lease stamped: max Rs.50</t>
        </is>
      </c>
      <c r="P90" s="7" t="inlineStr"/>
      <c r="Q90" s="11" t="inlineStr">
        <is>
          <t>Yes</t>
        </is>
      </c>
    </row>
    <row r="91">
      <c r="A91" s="10" t="inlineStr">
        <is>
          <t>30(1)-Family</t>
        </is>
      </c>
      <c r="B91" s="7" t="inlineStr">
        <is>
          <t>30</t>
        </is>
      </c>
      <c r="C91" s="7" t="inlineStr">
        <is>
          <t>DN-31</t>
        </is>
      </c>
      <c r="D91" s="7" t="inlineStr">
        <is>
          <t>Lease (incl. Sub-lease, Agreement to Let, Mining Lease / MDPA)</t>
        </is>
      </c>
      <c r="E91" s="7" t="inlineStr">
        <is>
          <t>Right to use property (lease / licence / hire)</t>
        </is>
      </c>
      <c r="F91" s="7" t="inlineStr">
        <is>
          <t>Lease of immovable to family member (2nd proviso)</t>
        </is>
      </c>
      <c r="G91" s="7" t="inlineStr">
        <is>
          <t>PRP-01 = Immovable AND GEN-07 in (wife, husband, father, mother, son, daughter, brother, sister)</t>
        </is>
      </c>
      <c r="H91" s="7" t="inlineStr">
        <is>
          <t>PRP-01, GEN-07</t>
        </is>
      </c>
      <c r="I91" s="7" t="inlineStr">
        <is>
          <t>PRP-03</t>
        </is>
      </c>
      <c r="J91" s="7" t="inlineStr"/>
      <c r="K91" s="7" t="inlineStr">
        <is>
          <t>Slab</t>
        </is>
      </c>
      <c r="L91" s="7" t="inlineStr">
        <is>
          <t>LL-1: Rs. 5,000; LL-2: Rs. 3,000; LL-3: Rs. 1,000 (if multiple limits, the maximum)</t>
        </is>
      </c>
      <c r="M91" s="7" t="inlineStr"/>
      <c r="N91" s="7" t="inlineStr"/>
      <c r="O91" s="7" t="inlineStr"/>
      <c r="P91" s="7" t="inlineStr"/>
      <c r="Q91" s="7" t="inlineStr">
        <is>
          <t>No</t>
        </is>
      </c>
    </row>
    <row r="92">
      <c r="A92" s="10" t="inlineStr">
        <is>
          <t>30(2)(a)(i)</t>
        </is>
      </c>
      <c r="B92" s="7" t="inlineStr">
        <is>
          <t>30</t>
        </is>
      </c>
      <c r="C92" s="7" t="inlineStr">
        <is>
          <t>DN-31</t>
        </is>
      </c>
      <c r="D92" s="7" t="inlineStr">
        <is>
          <t>Lease (incl. Sub-lease, Agreement to Let, Mining Lease / MDPA)</t>
        </is>
      </c>
      <c r="E92" s="7" t="inlineStr">
        <is>
          <t>Right to use property (lease / licence / hire)</t>
        </is>
      </c>
      <c r="F92" s="7" t="inlineStr">
        <is>
          <t>Lease of movable - rent only, up to 10 years</t>
        </is>
      </c>
      <c r="G92" s="7" t="inlineStr">
        <is>
          <t>PRP-01 = Movable AND LSE-07 = Rent only AND LSE-02 &lt;= 10</t>
        </is>
      </c>
      <c r="H92" s="7" t="inlineStr">
        <is>
          <t>PRP-01, LSE-07, LSE-02</t>
        </is>
      </c>
      <c r="I92" s="7" t="inlineStr">
        <is>
          <t>LSE-03, LSE-08</t>
        </is>
      </c>
      <c r="J92" s="7" t="inlineStr">
        <is>
          <t>LSE-06</t>
        </is>
      </c>
      <c r="K92" s="7" t="inlineStr">
        <is>
          <t>Ad valorem</t>
        </is>
      </c>
      <c r="L92" s="7" t="inlineStr">
        <is>
          <t>1% on average annual rent</t>
        </is>
      </c>
      <c r="M92" s="7" t="inlineStr"/>
      <c r="N92" s="7" t="inlineStr">
        <is>
          <t>Rs. 2,00,000 (industrial machinery: Rs. 10,000)</t>
        </is>
      </c>
      <c r="O92" s="7" t="inlineStr">
        <is>
          <t>Agreement to lease stamped ad valorem: max Rs.15</t>
        </is>
      </c>
      <c r="P92" s="7" t="inlineStr"/>
      <c r="Q92" s="7" t="inlineStr">
        <is>
          <t>No</t>
        </is>
      </c>
    </row>
    <row r="93">
      <c r="A93" s="10" t="inlineStr">
        <is>
          <t>30(2)(a)(ii)</t>
        </is>
      </c>
      <c r="B93" s="7" t="inlineStr">
        <is>
          <t>30</t>
        </is>
      </c>
      <c r="C93" s="7" t="inlineStr">
        <is>
          <t>DN-31</t>
        </is>
      </c>
      <c r="D93" s="7" t="inlineStr">
        <is>
          <t>Lease (incl. Sub-lease, Agreement to Let, Mining Lease / MDPA)</t>
        </is>
      </c>
      <c r="E93" s="7" t="inlineStr">
        <is>
          <t>Right to use property (lease / licence / hire)</t>
        </is>
      </c>
      <c r="F93" s="7" t="inlineStr">
        <is>
          <t>Lease of movable - rent only, above 10 years</t>
        </is>
      </c>
      <c r="G93" s="7" t="inlineStr">
        <is>
          <t>PRP-01 = Movable AND LSE-07 = Rent only AND LSE-02 &gt; 10</t>
        </is>
      </c>
      <c r="H93" s="7" t="inlineStr">
        <is>
          <t>PRP-01, LSE-07, LSE-02</t>
        </is>
      </c>
      <c r="I93" s="7" t="inlineStr">
        <is>
          <t>LSE-03, LSE-08</t>
        </is>
      </c>
      <c r="J93" s="7" t="inlineStr">
        <is>
          <t>LSE-06</t>
        </is>
      </c>
      <c r="K93" s="7" t="inlineStr">
        <is>
          <t>Ad valorem</t>
        </is>
      </c>
      <c r="L93" s="7" t="inlineStr">
        <is>
          <t>1.5% on average annual rent</t>
        </is>
      </c>
      <c r="M93" s="7" t="inlineStr"/>
      <c r="N93" s="7" t="inlineStr">
        <is>
          <t>Rs. 2,00,000 (industrial machinery: Rs. 10,000)</t>
        </is>
      </c>
      <c r="O93" s="7" t="inlineStr">
        <is>
          <t>Agreement to lease stamped: max Rs.15</t>
        </is>
      </c>
      <c r="P93" s="7" t="inlineStr"/>
      <c r="Q93" s="7" t="inlineStr">
        <is>
          <t>No</t>
        </is>
      </c>
    </row>
    <row r="94">
      <c r="A94" s="10" t="inlineStr">
        <is>
          <t>30(2)(b)</t>
        </is>
      </c>
      <c r="B94" s="7" t="inlineStr">
        <is>
          <t>30</t>
        </is>
      </c>
      <c r="C94" s="7" t="inlineStr">
        <is>
          <t>DN-31</t>
        </is>
      </c>
      <c r="D94" s="7" t="inlineStr">
        <is>
          <t>Lease (incl. Sub-lease, Agreement to Let, Mining Lease / MDPA)</t>
        </is>
      </c>
      <c r="E94" s="7" t="inlineStr">
        <is>
          <t>Right to use property (lease / licence / hire)</t>
        </is>
      </c>
      <c r="F94" s="7" t="inlineStr">
        <is>
          <t>Lease of movable - premium / advance only, no rent</t>
        </is>
      </c>
      <c r="G94" s="7" t="inlineStr">
        <is>
          <t>PRP-01 = Movable AND LSE-07 = Premium only</t>
        </is>
      </c>
      <c r="H94" s="7" t="inlineStr">
        <is>
          <t>PRP-01, LSE-07</t>
        </is>
      </c>
      <c r="I94" s="7" t="inlineStr">
        <is>
          <t>LSE-04, LSE-05, LSE-08</t>
        </is>
      </c>
      <c r="J94" s="7" t="inlineStr">
        <is>
          <t>LSE-06</t>
        </is>
      </c>
      <c r="K94" s="7" t="inlineStr">
        <is>
          <t>Ad valorem</t>
        </is>
      </c>
      <c r="L94" s="7" t="inlineStr">
        <is>
          <t>1.5% on premium / fine / advance</t>
        </is>
      </c>
      <c r="M94" s="7" t="inlineStr"/>
      <c r="N94" s="7" t="inlineStr">
        <is>
          <t>Rs. 2,00,000 (industrial machinery: Rs. 10,000)</t>
        </is>
      </c>
      <c r="O94" s="7" t="inlineStr"/>
      <c r="P94" s="7" t="inlineStr"/>
      <c r="Q94" s="7" t="inlineStr">
        <is>
          <t>No</t>
        </is>
      </c>
    </row>
    <row r="95">
      <c r="A95" s="10" t="inlineStr">
        <is>
          <t>30(2)(c)</t>
        </is>
      </c>
      <c r="B95" s="7" t="inlineStr">
        <is>
          <t>30</t>
        </is>
      </c>
      <c r="C95" s="7" t="inlineStr">
        <is>
          <t>DN-31</t>
        </is>
      </c>
      <c r="D95" s="7" t="inlineStr">
        <is>
          <t>Lease (incl. Sub-lease, Agreement to Let, Mining Lease / MDPA)</t>
        </is>
      </c>
      <c r="E95" s="7" t="inlineStr">
        <is>
          <t>Right to use property (lease / licence / hire)</t>
        </is>
      </c>
      <c r="F95" s="7" t="inlineStr">
        <is>
          <t>Lease of movable - premium / advance plus rent</t>
        </is>
      </c>
      <c r="G95" s="7" t="inlineStr">
        <is>
          <t>PRP-01 = Movable AND LSE-07 = Premium + rent</t>
        </is>
      </c>
      <c r="H95" s="7" t="inlineStr">
        <is>
          <t>PRP-01, LSE-07, LSE-02</t>
        </is>
      </c>
      <c r="I95" s="7" t="inlineStr">
        <is>
          <t>LSE-03, LSE-04, LSE-05, LSE-08</t>
        </is>
      </c>
      <c r="J95" s="7" t="inlineStr">
        <is>
          <t>LSE-06</t>
        </is>
      </c>
      <c r="K95" s="7" t="inlineStr">
        <is>
          <t>Ad valorem</t>
        </is>
      </c>
      <c r="L95" s="7" t="inlineStr">
        <is>
          <t>1.5% on premium / advance + duty under 30(2)(a) on rent</t>
        </is>
      </c>
      <c r="M95" s="7" t="inlineStr"/>
      <c r="N95" s="7" t="inlineStr">
        <is>
          <t>Rs. 2,00,000 (industrial machinery: Rs. 10,000)</t>
        </is>
      </c>
      <c r="O95" s="7" t="inlineStr"/>
      <c r="P95" s="7" t="inlineStr"/>
      <c r="Q95" s="7" t="inlineStr">
        <is>
          <t>No</t>
        </is>
      </c>
    </row>
    <row r="96">
      <c r="A96" s="10" t="inlineStr">
        <is>
          <t>30(3)(a)(i)</t>
        </is>
      </c>
      <c r="B96" s="7" t="inlineStr">
        <is>
          <t>30</t>
        </is>
      </c>
      <c r="C96" s="7" t="inlineStr">
        <is>
          <t>DN-31</t>
        </is>
      </c>
      <c r="D96" s="7" t="inlineStr">
        <is>
          <t>Lease (incl. Sub-lease, Agreement to Let, Mining Lease / MDPA)</t>
        </is>
      </c>
      <c r="E96" s="7" t="inlineStr">
        <is>
          <t>Right to use property (lease / licence / hire)</t>
        </is>
      </c>
      <c r="F96" s="7" t="inlineStr">
        <is>
          <t>MDPA / mining lease by auction - &gt;1 to 10 years</t>
        </is>
      </c>
      <c r="G96" s="7" t="inlineStr">
        <is>
          <t>LSE-01 = Mining AND LSE-09 = Yes AND 1 &lt; LSE-02 &lt;= 10</t>
        </is>
      </c>
      <c r="H96" s="7" t="inlineStr">
        <is>
          <t>LSE-01, LSE-09, LSE-02</t>
        </is>
      </c>
      <c r="I96" s="7" t="inlineStr">
        <is>
          <t>LSE-10</t>
        </is>
      </c>
      <c r="J96" s="7" t="inlineStr">
        <is>
          <t>LSE-11</t>
        </is>
      </c>
      <c r="K96" s="7" t="inlineStr">
        <is>
          <t>Ad valorem</t>
        </is>
      </c>
      <c r="L96" s="7" t="inlineStr">
        <is>
          <t>1% on avg annual royalty + avg annual payment (final price offer) on estimated annual production</t>
        </is>
      </c>
      <c r="M96" s="7" t="inlineStr"/>
      <c r="N96" s="7" t="inlineStr"/>
      <c r="O96" s="7" t="inlineStr">
        <is>
          <t>MDPA stamped incl. lease duty: mining lease max Rs.50 (LSE-11)</t>
        </is>
      </c>
      <c r="P96" s="7" t="inlineStr"/>
      <c r="Q96" s="7" t="inlineStr">
        <is>
          <t>No</t>
        </is>
      </c>
    </row>
    <row r="97">
      <c r="A97" s="10" t="inlineStr">
        <is>
          <t>30(3)(a)(ii)</t>
        </is>
      </c>
      <c r="B97" s="7" t="inlineStr">
        <is>
          <t>30</t>
        </is>
      </c>
      <c r="C97" s="7" t="inlineStr">
        <is>
          <t>DN-31</t>
        </is>
      </c>
      <c r="D97" s="7" t="inlineStr">
        <is>
          <t>Lease (incl. Sub-lease, Agreement to Let, Mining Lease / MDPA)</t>
        </is>
      </c>
      <c r="E97" s="7" t="inlineStr">
        <is>
          <t>Right to use property (lease / licence / hire)</t>
        </is>
      </c>
      <c r="F97" s="7" t="inlineStr">
        <is>
          <t>MDPA / mining lease by auction - &gt;10 to 20 years</t>
        </is>
      </c>
      <c r="G97" s="7" t="inlineStr">
        <is>
          <t>LSE-01 = Mining AND LSE-09 = Yes AND 10 &lt; LSE-02 &lt;= 20</t>
        </is>
      </c>
      <c r="H97" s="7" t="inlineStr">
        <is>
          <t>LSE-01, LSE-09, LSE-02</t>
        </is>
      </c>
      <c r="I97" s="7" t="inlineStr">
        <is>
          <t>LSE-10</t>
        </is>
      </c>
      <c r="J97" s="7" t="inlineStr">
        <is>
          <t>LSE-11</t>
        </is>
      </c>
      <c r="K97" s="7" t="inlineStr">
        <is>
          <t>Ad valorem</t>
        </is>
      </c>
      <c r="L97" s="7" t="inlineStr">
        <is>
          <t>2% on avg annual royalty + avg annual payment</t>
        </is>
      </c>
      <c r="M97" s="7" t="inlineStr"/>
      <c r="N97" s="7" t="inlineStr"/>
      <c r="O97" s="7" t="inlineStr">
        <is>
          <t>MDPA stamped: max Rs.50</t>
        </is>
      </c>
      <c r="P97" s="7" t="inlineStr"/>
      <c r="Q97" s="7" t="inlineStr">
        <is>
          <t>No</t>
        </is>
      </c>
    </row>
    <row r="98">
      <c r="A98" s="10" t="inlineStr">
        <is>
          <t>30(3)(a)(iii)</t>
        </is>
      </c>
      <c r="B98" s="7" t="inlineStr">
        <is>
          <t>30</t>
        </is>
      </c>
      <c r="C98" s="7" t="inlineStr">
        <is>
          <t>DN-31</t>
        </is>
      </c>
      <c r="D98" s="7" t="inlineStr">
        <is>
          <t>Lease (incl. Sub-lease, Agreement to Let, Mining Lease / MDPA)</t>
        </is>
      </c>
      <c r="E98" s="7" t="inlineStr">
        <is>
          <t>Right to use property (lease / licence / hire)</t>
        </is>
      </c>
      <c r="F98" s="7" t="inlineStr">
        <is>
          <t>MDPA / mining lease by auction - &gt;20 to 30 years</t>
        </is>
      </c>
      <c r="G98" s="7" t="inlineStr">
        <is>
          <t>LSE-01 = Mining AND LSE-09 = Yes AND 20 &lt; LSE-02 &lt;= 30</t>
        </is>
      </c>
      <c r="H98" s="7" t="inlineStr">
        <is>
          <t>LSE-01, LSE-09, LSE-02</t>
        </is>
      </c>
      <c r="I98" s="7" t="inlineStr">
        <is>
          <t>LSE-10</t>
        </is>
      </c>
      <c r="J98" s="7" t="inlineStr">
        <is>
          <t>LSE-11</t>
        </is>
      </c>
      <c r="K98" s="7" t="inlineStr">
        <is>
          <t>Ad valorem</t>
        </is>
      </c>
      <c r="L98" s="7" t="inlineStr">
        <is>
          <t>3% on avg annual royalty + avg annual payment</t>
        </is>
      </c>
      <c r="M98" s="7" t="inlineStr"/>
      <c r="N98" s="7" t="inlineStr"/>
      <c r="O98" s="7" t="inlineStr">
        <is>
          <t>MDPA stamped: max Rs.50</t>
        </is>
      </c>
      <c r="P98" s="7" t="inlineStr"/>
      <c r="Q98" s="7" t="inlineStr">
        <is>
          <t>No</t>
        </is>
      </c>
    </row>
    <row r="99">
      <c r="A99" s="10" t="inlineStr">
        <is>
          <t>30(3)(a)(iv)</t>
        </is>
      </c>
      <c r="B99" s="7" t="inlineStr">
        <is>
          <t>30</t>
        </is>
      </c>
      <c r="C99" s="7" t="inlineStr">
        <is>
          <t>DN-31</t>
        </is>
      </c>
      <c r="D99" s="7" t="inlineStr">
        <is>
          <t>Lease (incl. Sub-lease, Agreement to Let, Mining Lease / MDPA)</t>
        </is>
      </c>
      <c r="E99" s="7" t="inlineStr">
        <is>
          <t>Right to use property (lease / licence / hire)</t>
        </is>
      </c>
      <c r="F99" s="7" t="inlineStr">
        <is>
          <t>MDPA / mining lease by auction - &gt;30 years / perpetual</t>
        </is>
      </c>
      <c r="G99" s="7" t="inlineStr">
        <is>
          <t>LSE-01 = Mining AND LSE-09 = Yes AND (LSE-02 &gt; 30 OR perpetual)</t>
        </is>
      </c>
      <c r="H99" s="7" t="inlineStr">
        <is>
          <t>LSE-01, LSE-09, LSE-02</t>
        </is>
      </c>
      <c r="I99" s="7" t="inlineStr">
        <is>
          <t>LSE-10</t>
        </is>
      </c>
      <c r="J99" s="7" t="inlineStr">
        <is>
          <t>LSE-11</t>
        </is>
      </c>
      <c r="K99" s="7" t="inlineStr">
        <is>
          <t>Ad valorem</t>
        </is>
      </c>
      <c r="L99" s="7" t="inlineStr">
        <is>
          <t>5% on 4 x avg annual royalty + 4 x avg annual payment</t>
        </is>
      </c>
      <c r="M99" s="7" t="inlineStr"/>
      <c r="N99" s="7" t="inlineStr"/>
      <c r="O99" s="7" t="inlineStr">
        <is>
          <t>MDPA stamped: max Rs.50</t>
        </is>
      </c>
      <c r="P99" s="7" t="inlineStr"/>
      <c r="Q99" s="7" t="inlineStr">
        <is>
          <t>No</t>
        </is>
      </c>
    </row>
    <row r="100">
      <c r="A100" s="10" t="inlineStr">
        <is>
          <t>30(3)(b)(i)</t>
        </is>
      </c>
      <c r="B100" s="7" t="inlineStr">
        <is>
          <t>30</t>
        </is>
      </c>
      <c r="C100" s="7" t="inlineStr">
        <is>
          <t>DN-31</t>
        </is>
      </c>
      <c r="D100" s="7" t="inlineStr">
        <is>
          <t>Lease (incl. Sub-lease, Agreement to Let, Mining Lease / MDPA)</t>
        </is>
      </c>
      <c r="E100" s="7" t="inlineStr">
        <is>
          <t>Right to use property (lease / licence / hire)</t>
        </is>
      </c>
      <c r="F100" s="7" t="inlineStr">
        <is>
          <t>MDPA / mining lease other than auction - &gt;1 to 10 years</t>
        </is>
      </c>
      <c r="G100" s="7" t="inlineStr">
        <is>
          <t>LSE-01 = Mining AND LSE-09 = No AND 1 &lt; LSE-02 &lt;= 10</t>
        </is>
      </c>
      <c r="H100" s="7" t="inlineStr">
        <is>
          <t>LSE-01, LSE-09, LSE-02</t>
        </is>
      </c>
      <c r="I100" s="7" t="inlineStr">
        <is>
          <t>LSE-10</t>
        </is>
      </c>
      <c r="J100" s="7" t="inlineStr">
        <is>
          <t>LSE-11</t>
        </is>
      </c>
      <c r="K100" s="7" t="inlineStr">
        <is>
          <t>Ad valorem</t>
        </is>
      </c>
      <c r="L100" s="7" t="inlineStr">
        <is>
          <t>1% on avg annual royalty + avg annual payment (share of value of mineral) + premium + money advanced + security deposit + fine</t>
        </is>
      </c>
      <c r="M100" s="7" t="inlineStr"/>
      <c r="N100" s="7" t="inlineStr"/>
      <c r="O100" s="7" t="inlineStr">
        <is>
          <t>MDPA stamped: max Rs.50</t>
        </is>
      </c>
      <c r="P100" s="7" t="inlineStr"/>
      <c r="Q100" s="7" t="inlineStr">
        <is>
          <t>No</t>
        </is>
      </c>
    </row>
    <row r="101">
      <c r="A101" s="10" t="inlineStr">
        <is>
          <t>30(3)(b)(ii)</t>
        </is>
      </c>
      <c r="B101" s="7" t="inlineStr">
        <is>
          <t>30</t>
        </is>
      </c>
      <c r="C101" s="7" t="inlineStr">
        <is>
          <t>DN-31</t>
        </is>
      </c>
      <c r="D101" s="7" t="inlineStr">
        <is>
          <t>Lease (incl. Sub-lease, Agreement to Let, Mining Lease / MDPA)</t>
        </is>
      </c>
      <c r="E101" s="7" t="inlineStr">
        <is>
          <t>Right to use property (lease / licence / hire)</t>
        </is>
      </c>
      <c r="F101" s="7" t="inlineStr">
        <is>
          <t>MDPA / mining lease other than auction - &gt;10 to 20 years</t>
        </is>
      </c>
      <c r="G101" s="7" t="inlineStr">
        <is>
          <t>LSE-01 = Mining AND LSE-09 = No AND 10 &lt; LSE-02 &lt;= 20</t>
        </is>
      </c>
      <c r="H101" s="7" t="inlineStr">
        <is>
          <t>LSE-01, LSE-09, LSE-02</t>
        </is>
      </c>
      <c r="I101" s="7" t="inlineStr">
        <is>
          <t>LSE-10</t>
        </is>
      </c>
      <c r="J101" s="7" t="inlineStr">
        <is>
          <t>LSE-11</t>
        </is>
      </c>
      <c r="K101" s="7" t="inlineStr">
        <is>
          <t>Ad valorem</t>
        </is>
      </c>
      <c r="L101" s="7" t="inlineStr">
        <is>
          <t>2% on the same base as 30(3)(b)(i)</t>
        </is>
      </c>
      <c r="M101" s="7" t="inlineStr"/>
      <c r="N101" s="7" t="inlineStr"/>
      <c r="O101" s="7" t="inlineStr">
        <is>
          <t>MDPA stamped: max Rs.50</t>
        </is>
      </c>
      <c r="P101" s="7" t="inlineStr"/>
      <c r="Q101" s="7" t="inlineStr">
        <is>
          <t>No</t>
        </is>
      </c>
    </row>
    <row r="102">
      <c r="A102" s="10" t="inlineStr">
        <is>
          <t>30(3)(b)(iii)</t>
        </is>
      </c>
      <c r="B102" s="7" t="inlineStr">
        <is>
          <t>30</t>
        </is>
      </c>
      <c r="C102" s="7" t="inlineStr">
        <is>
          <t>DN-31</t>
        </is>
      </c>
      <c r="D102" s="7" t="inlineStr">
        <is>
          <t>Lease (incl. Sub-lease, Agreement to Let, Mining Lease / MDPA)</t>
        </is>
      </c>
      <c r="E102" s="7" t="inlineStr">
        <is>
          <t>Right to use property (lease / licence / hire)</t>
        </is>
      </c>
      <c r="F102" s="7" t="inlineStr">
        <is>
          <t>MDPA / mining lease other than auction - &gt;20 to 30 years</t>
        </is>
      </c>
      <c r="G102" s="7" t="inlineStr">
        <is>
          <t>LSE-01 = Mining AND LSE-09 = No AND 20 &lt; LSE-02 &lt;= 30</t>
        </is>
      </c>
      <c r="H102" s="7" t="inlineStr">
        <is>
          <t>LSE-01, LSE-09, LSE-02</t>
        </is>
      </c>
      <c r="I102" s="7" t="inlineStr">
        <is>
          <t>LSE-10</t>
        </is>
      </c>
      <c r="J102" s="7" t="inlineStr">
        <is>
          <t>LSE-11</t>
        </is>
      </c>
      <c r="K102" s="7" t="inlineStr">
        <is>
          <t>Ad valorem</t>
        </is>
      </c>
      <c r="L102" s="7" t="inlineStr">
        <is>
          <t>3% on the same base as 30(3)(b)(i)</t>
        </is>
      </c>
      <c r="M102" s="7" t="inlineStr"/>
      <c r="N102" s="7" t="inlineStr"/>
      <c r="O102" s="7" t="inlineStr">
        <is>
          <t>MDPA stamped: max Rs.50</t>
        </is>
      </c>
      <c r="P102" s="7" t="inlineStr"/>
      <c r="Q102" s="7" t="inlineStr">
        <is>
          <t>No</t>
        </is>
      </c>
    </row>
    <row r="103">
      <c r="A103" s="10" t="inlineStr">
        <is>
          <t>30(3)(b)(iv)</t>
        </is>
      </c>
      <c r="B103" s="7" t="inlineStr">
        <is>
          <t>30</t>
        </is>
      </c>
      <c r="C103" s="7" t="inlineStr">
        <is>
          <t>DN-31</t>
        </is>
      </c>
      <c r="D103" s="7" t="inlineStr">
        <is>
          <t>Lease (incl. Sub-lease, Agreement to Let, Mining Lease / MDPA)</t>
        </is>
      </c>
      <c r="E103" s="7" t="inlineStr">
        <is>
          <t>Right to use property (lease / licence / hire)</t>
        </is>
      </c>
      <c r="F103" s="7" t="inlineStr">
        <is>
          <t>MDPA / mining lease other than auction - &gt;30 years / perpetual</t>
        </is>
      </c>
      <c r="G103" s="7" t="inlineStr">
        <is>
          <t>LSE-01 = Mining AND LSE-09 = No AND (LSE-02 &gt; 30 OR perpetual)</t>
        </is>
      </c>
      <c r="H103" s="7" t="inlineStr">
        <is>
          <t>LSE-01, LSE-09, LSE-02</t>
        </is>
      </c>
      <c r="I103" s="7" t="inlineStr">
        <is>
          <t>LSE-10</t>
        </is>
      </c>
      <c r="J103" s="7" t="inlineStr">
        <is>
          <t>LSE-11</t>
        </is>
      </c>
      <c r="K103" s="7" t="inlineStr">
        <is>
          <t>Ad valorem</t>
        </is>
      </c>
      <c r="L103" s="7" t="inlineStr">
        <is>
          <t>5% on 4 x avg royalty + 4 x avg payment + premium + money advanced + security deposit + fine, OR value of estimated resources, whichever higher</t>
        </is>
      </c>
      <c r="M103" s="7" t="inlineStr"/>
      <c r="N103" s="7" t="inlineStr"/>
      <c r="O103" s="7" t="inlineStr">
        <is>
          <t>MDPA stamped: max Rs.50</t>
        </is>
      </c>
      <c r="P103" s="7" t="inlineStr"/>
      <c r="Q103" s="7" t="inlineStr">
        <is>
          <t>No</t>
        </is>
      </c>
    </row>
    <row r="104">
      <c r="A104" s="10" t="inlineStr">
        <is>
          <t>31</t>
        </is>
      </c>
      <c r="B104" s="7" t="inlineStr">
        <is>
          <t>31</t>
        </is>
      </c>
      <c r="C104" s="7" t="inlineStr">
        <is>
          <t>DN-32</t>
        </is>
      </c>
      <c r="D104" s="7" t="inlineStr">
        <is>
          <t>Letter of Allotment of Shares</t>
        </is>
      </c>
      <c r="E104" s="7" t="inlineStr">
        <is>
          <t>Business entity / company / securities</t>
        </is>
      </c>
      <c r="F104" s="7" t="inlineStr">
        <is>
          <t>Letter of allotment of shares / loan</t>
        </is>
      </c>
      <c r="G104" s="7" t="inlineStr">
        <is>
          <t>Nature of document selected (no further condition)</t>
        </is>
      </c>
      <c r="H104" s="7" t="inlineStr"/>
      <c r="I104" s="7" t="inlineStr"/>
      <c r="J104" s="7" t="inlineStr"/>
      <c r="K104" s="7" t="inlineStr">
        <is>
          <t>Fixed</t>
        </is>
      </c>
      <c r="L104" s="7" t="inlineStr">
        <is>
          <t>Re. 1</t>
        </is>
      </c>
      <c r="M104" s="7" t="inlineStr"/>
      <c r="N104" s="7" t="inlineStr"/>
      <c r="O104" s="7" t="inlineStr"/>
      <c r="P104" s="7" t="inlineStr"/>
      <c r="Q104" s="7" t="inlineStr">
        <is>
          <t>No</t>
        </is>
      </c>
    </row>
    <row r="105">
      <c r="A105" s="10" t="inlineStr">
        <is>
          <t>32</t>
        </is>
      </c>
      <c r="B105" s="7" t="inlineStr">
        <is>
          <t>32</t>
        </is>
      </c>
      <c r="C105" s="7" t="inlineStr">
        <is>
          <t>DN-33</t>
        </is>
      </c>
      <c r="D105" s="7" t="inlineStr">
        <is>
          <t>Letter of Licence (Debtor - Creditors)</t>
        </is>
      </c>
      <c r="E105" s="7" t="inlineStr">
        <is>
          <t>Agreement / contract</t>
        </is>
      </c>
      <c r="F105" s="7" t="inlineStr">
        <is>
          <t>Letter of licence (creditors suspend claims)</t>
        </is>
      </c>
      <c r="G105" s="7" t="inlineStr">
        <is>
          <t>Nature of document selected (no further condition)</t>
        </is>
      </c>
      <c r="H105" s="7" t="inlineStr"/>
      <c r="I105" s="7" t="inlineStr"/>
      <c r="J105" s="7" t="inlineStr"/>
      <c r="K105" s="7" t="inlineStr">
        <is>
          <t>Fixed</t>
        </is>
      </c>
      <c r="L105" s="7" t="inlineStr">
        <is>
          <t>Rs. 100</t>
        </is>
      </c>
      <c r="M105" s="7" t="inlineStr"/>
      <c r="N105" s="7" t="inlineStr"/>
      <c r="O105" s="7" t="inlineStr"/>
      <c r="P105" s="7" t="inlineStr"/>
      <c r="Q105" s="7" t="inlineStr">
        <is>
          <t>No</t>
        </is>
      </c>
    </row>
    <row r="106">
      <c r="A106" s="10" t="inlineStr">
        <is>
          <t>32-A(i)</t>
        </is>
      </c>
      <c r="B106" s="7" t="inlineStr">
        <is>
          <t>32-A</t>
        </is>
      </c>
      <c r="C106" s="7" t="inlineStr">
        <is>
          <t>DN-34</t>
        </is>
      </c>
      <c r="D106" s="7" t="inlineStr">
        <is>
          <t>Licence of Immovable / Movable Property (Leave &amp; Licence)</t>
        </is>
      </c>
      <c r="E106" s="7" t="inlineStr">
        <is>
          <t>Right to use property (lease / licence / hire)</t>
        </is>
      </c>
      <c r="F106" s="7" t="inlineStr">
        <is>
          <t>Licence - up to 1 year, residential</t>
        </is>
      </c>
      <c r="G106" s="7" t="inlineStr">
        <is>
          <t>LSE-02 &lt;= 1 AND PRP-04 = Residential</t>
        </is>
      </c>
      <c r="H106" s="7" t="inlineStr">
        <is>
          <t>LSE-02, PRP-04</t>
        </is>
      </c>
      <c r="I106" s="7" t="inlineStr">
        <is>
          <t>LSE-03, LSE-04, LSE-05</t>
        </is>
      </c>
      <c r="J106" s="7" t="inlineStr"/>
      <c r="K106" s="7" t="inlineStr">
        <is>
          <t>Ad valorem</t>
        </is>
      </c>
      <c r="L106" s="7" t="inlineStr">
        <is>
          <t>0.5% on (avg annual rent / fee + premium + fine + money advanced)</t>
        </is>
      </c>
      <c r="M106" s="7" t="inlineStr"/>
      <c r="N106" s="7" t="inlineStr">
        <is>
          <t>Rs. 500</t>
        </is>
      </c>
      <c r="O106" s="7" t="inlineStr"/>
      <c r="P106" s="7" t="inlineStr"/>
      <c r="Q106" s="7" t="inlineStr">
        <is>
          <t>No</t>
        </is>
      </c>
    </row>
    <row r="107">
      <c r="A107" s="10" t="inlineStr">
        <is>
          <t>32-A(ii)</t>
        </is>
      </c>
      <c r="B107" s="7" t="inlineStr">
        <is>
          <t>32-A</t>
        </is>
      </c>
      <c r="C107" s="7" t="inlineStr">
        <is>
          <t>DN-34</t>
        </is>
      </c>
      <c r="D107" s="7" t="inlineStr">
        <is>
          <t>Licence of Immovable / Movable Property (Leave &amp; Licence)</t>
        </is>
      </c>
      <c r="E107" s="7" t="inlineStr">
        <is>
          <t>Right to use property (lease / licence / hire)</t>
        </is>
      </c>
      <c r="F107" s="7" t="inlineStr">
        <is>
          <t>Licence - up to 1 year, commercial / industrial</t>
        </is>
      </c>
      <c r="G107" s="7" t="inlineStr">
        <is>
          <t>LSE-02 &lt;= 1 AND PRP-04 in (Commercial, Industrial)</t>
        </is>
      </c>
      <c r="H107" s="7" t="inlineStr">
        <is>
          <t>LSE-02, PRP-04</t>
        </is>
      </c>
      <c r="I107" s="7" t="inlineStr">
        <is>
          <t>LSE-03, LSE-04, LSE-05</t>
        </is>
      </c>
      <c r="J107" s="7" t="inlineStr"/>
      <c r="K107" s="7" t="inlineStr">
        <is>
          <t>Ad valorem</t>
        </is>
      </c>
      <c r="L107" s="7" t="inlineStr">
        <is>
          <t>0.5% on (AAR + premium + fine + money advanced)</t>
        </is>
      </c>
      <c r="M107" s="7" t="inlineStr">
        <is>
          <t>Rs. 50</t>
        </is>
      </c>
      <c r="N107" s="7" t="inlineStr"/>
      <c r="O107" s="7" t="inlineStr"/>
      <c r="P107" s="7" t="inlineStr"/>
      <c r="Q107" s="7" t="inlineStr">
        <is>
          <t>No</t>
        </is>
      </c>
    </row>
    <row r="108">
      <c r="A108" s="10" t="inlineStr">
        <is>
          <t>32-A(iii)</t>
        </is>
      </c>
      <c r="B108" s="7" t="inlineStr">
        <is>
          <t>32-A</t>
        </is>
      </c>
      <c r="C108" s="7" t="inlineStr">
        <is>
          <t>DN-34</t>
        </is>
      </c>
      <c r="D108" s="7" t="inlineStr">
        <is>
          <t>Licence of Immovable / Movable Property (Leave &amp; Licence)</t>
        </is>
      </c>
      <c r="E108" s="7" t="inlineStr">
        <is>
          <t>Right to use property (lease / licence / hire)</t>
        </is>
      </c>
      <c r="F108" s="7" t="inlineStr">
        <is>
          <t>Licence - &gt;1 to 10 years</t>
        </is>
      </c>
      <c r="G108" s="7" t="inlineStr">
        <is>
          <t>1 &lt; LSE-02 &lt;= 10</t>
        </is>
      </c>
      <c r="H108" s="7" t="inlineStr">
        <is>
          <t>LSE-02</t>
        </is>
      </c>
      <c r="I108" s="7" t="inlineStr">
        <is>
          <t>LSE-03, LSE-04, LSE-05</t>
        </is>
      </c>
      <c r="J108" s="7" t="inlineStr"/>
      <c r="K108" s="7" t="inlineStr">
        <is>
          <t>Ad valorem</t>
        </is>
      </c>
      <c r="L108" s="7" t="inlineStr">
        <is>
          <t>1% on (AAR + premium + fine + money advanced)</t>
        </is>
      </c>
      <c r="M108" s="7" t="inlineStr">
        <is>
          <t>Rs. 100</t>
        </is>
      </c>
      <c r="N108" s="7" t="inlineStr"/>
      <c r="O108" s="7" t="inlineStr"/>
      <c r="P108" s="7" t="inlineStr"/>
      <c r="Q108" s="7" t="inlineStr">
        <is>
          <t>No</t>
        </is>
      </c>
    </row>
    <row r="109">
      <c r="A109" s="10" t="inlineStr">
        <is>
          <t>32-A(iv)</t>
        </is>
      </c>
      <c r="B109" s="7" t="inlineStr">
        <is>
          <t>32-A</t>
        </is>
      </c>
      <c r="C109" s="7" t="inlineStr">
        <is>
          <t>DN-34</t>
        </is>
      </c>
      <c r="D109" s="7" t="inlineStr">
        <is>
          <t>Licence of Immovable / Movable Property (Leave &amp; Licence)</t>
        </is>
      </c>
      <c r="E109" s="7" t="inlineStr">
        <is>
          <t>Right to use property (lease / licence / hire)</t>
        </is>
      </c>
      <c r="F109" s="7" t="inlineStr">
        <is>
          <t>Licence - &gt;10 to 20 years</t>
        </is>
      </c>
      <c r="G109" s="7" t="inlineStr">
        <is>
          <t>10 &lt; LSE-02 &lt;= 20</t>
        </is>
      </c>
      <c r="H109" s="7" t="inlineStr">
        <is>
          <t>LSE-02</t>
        </is>
      </c>
      <c r="I109" s="7" t="inlineStr">
        <is>
          <t>LSE-03, LSE-04, LSE-05</t>
        </is>
      </c>
      <c r="J109" s="7" t="inlineStr"/>
      <c r="K109" s="7" t="inlineStr">
        <is>
          <t>Ad valorem</t>
        </is>
      </c>
      <c r="L109" s="7" t="inlineStr">
        <is>
          <t>2% on (AAR + premium + fine + money advanced)</t>
        </is>
      </c>
      <c r="M109" s="7" t="inlineStr">
        <is>
          <t>Rs. 200</t>
        </is>
      </c>
      <c r="N109" s="7" t="inlineStr"/>
      <c r="O109" s="7" t="inlineStr"/>
      <c r="P109" s="7" t="inlineStr"/>
      <c r="Q109" s="7" t="inlineStr">
        <is>
          <t>No</t>
        </is>
      </c>
    </row>
    <row r="110">
      <c r="A110" s="10" t="inlineStr">
        <is>
          <t>32-A(v)</t>
        </is>
      </c>
      <c r="B110" s="7" t="inlineStr">
        <is>
          <t>32-A</t>
        </is>
      </c>
      <c r="C110" s="7" t="inlineStr">
        <is>
          <t>DN-34</t>
        </is>
      </c>
      <c r="D110" s="7" t="inlineStr">
        <is>
          <t>Licence of Immovable / Movable Property (Leave &amp; Licence)</t>
        </is>
      </c>
      <c r="E110" s="7" t="inlineStr">
        <is>
          <t>Right to use property (lease / licence / hire)</t>
        </is>
      </c>
      <c r="F110" s="7" t="inlineStr">
        <is>
          <t>Licence - &gt;20 to 30 years</t>
        </is>
      </c>
      <c r="G110" s="7" t="inlineStr">
        <is>
          <t>20 &lt; LSE-02 &lt;= 30</t>
        </is>
      </c>
      <c r="H110" s="7" t="inlineStr">
        <is>
          <t>LSE-02</t>
        </is>
      </c>
      <c r="I110" s="7" t="inlineStr">
        <is>
          <t>LSE-03, LSE-04, LSE-05</t>
        </is>
      </c>
      <c r="J110" s="7" t="inlineStr"/>
      <c r="K110" s="7" t="inlineStr">
        <is>
          <t>Ad valorem</t>
        </is>
      </c>
      <c r="L110" s="7" t="inlineStr">
        <is>
          <t>3% on (AAR + premium + fine + money advanced)</t>
        </is>
      </c>
      <c r="M110" s="7" t="inlineStr">
        <is>
          <t>Rs. 300</t>
        </is>
      </c>
      <c r="N110" s="7" t="inlineStr"/>
      <c r="O110" s="7" t="inlineStr">
        <is>
          <t>Term &gt; 30 years not specified in 32-A: refer to Registering Officer / Department</t>
        </is>
      </c>
      <c r="P110" s="7" t="inlineStr"/>
      <c r="Q110" s="7" t="inlineStr">
        <is>
          <t>No</t>
        </is>
      </c>
    </row>
    <row r="111">
      <c r="A111" s="10" t="inlineStr">
        <is>
          <t>33(a)</t>
        </is>
      </c>
      <c r="B111" s="7" t="inlineStr">
        <is>
          <t>33</t>
        </is>
      </c>
      <c r="C111" s="7" t="inlineStr">
        <is>
          <t>DN-35</t>
        </is>
      </c>
      <c r="D111" s="7" t="inlineStr">
        <is>
          <t>Memorandum of Association</t>
        </is>
      </c>
      <c r="E111" s="7" t="inlineStr">
        <is>
          <t>Business entity / company / securities</t>
        </is>
      </c>
      <c r="F111" s="7" t="inlineStr">
        <is>
          <t>Memorandum of Association with Articles</t>
        </is>
      </c>
      <c r="G111" s="7" t="inlineStr">
        <is>
          <t>CMP-03 = Yes</t>
        </is>
      </c>
      <c r="H111" s="7" t="inlineStr">
        <is>
          <t>CMP-03, CMP-02</t>
        </is>
      </c>
      <c r="I111" s="7" t="inlineStr"/>
      <c r="J111" s="7" t="inlineStr"/>
      <c r="K111" s="7" t="inlineStr">
        <is>
          <t>Fixed</t>
        </is>
      </c>
      <c r="L111" s="7" t="inlineStr">
        <is>
          <t>Rs. 1,000</t>
        </is>
      </c>
      <c r="M111" s="7" t="inlineStr"/>
      <c r="N111" s="7" t="inlineStr"/>
      <c r="O111" s="7" t="inlineStr"/>
      <c r="P111" s="7" t="inlineStr">
        <is>
          <t>Not-for-profit association (Sec 25)</t>
        </is>
      </c>
      <c r="Q111" s="7" t="inlineStr">
        <is>
          <t>No</t>
        </is>
      </c>
    </row>
    <row r="112">
      <c r="A112" s="10" t="inlineStr">
        <is>
          <t>33(b)</t>
        </is>
      </c>
      <c r="B112" s="7" t="inlineStr">
        <is>
          <t>33</t>
        </is>
      </c>
      <c r="C112" s="7" t="inlineStr">
        <is>
          <t>DN-35</t>
        </is>
      </c>
      <c r="D112" s="7" t="inlineStr">
        <is>
          <t>Memorandum of Association</t>
        </is>
      </c>
      <c r="E112" s="7" t="inlineStr">
        <is>
          <t>Business entity / company / securities</t>
        </is>
      </c>
      <c r="F112" s="7" t="inlineStr">
        <is>
          <t>Memorandum of Association without Articles</t>
        </is>
      </c>
      <c r="G112" s="7" t="inlineStr">
        <is>
          <t>CMP-03 = No</t>
        </is>
      </c>
      <c r="H112" s="7" t="inlineStr">
        <is>
          <t>CMP-03, CMP-02</t>
        </is>
      </c>
      <c r="I112" s="7" t="inlineStr">
        <is>
          <t>CMP-01</t>
        </is>
      </c>
      <c r="J112" s="7" t="inlineStr"/>
      <c r="K112" s="7" t="inlineStr">
        <is>
          <t>Same as other Article</t>
        </is>
      </c>
      <c r="L112" s="7" t="inlineStr">
        <is>
          <t>Same as Art 10 according to share capital</t>
        </is>
      </c>
      <c r="M112" s="7" t="inlineStr"/>
      <c r="N112" s="7" t="inlineStr"/>
      <c r="O112" s="7" t="inlineStr"/>
      <c r="P112" s="7" t="inlineStr">
        <is>
          <t>Not-for-profit association (Sec 25)</t>
        </is>
      </c>
      <c r="Q112" s="7" t="inlineStr">
        <is>
          <t>No</t>
        </is>
      </c>
    </row>
    <row r="113">
      <c r="A113" s="10" t="inlineStr">
        <is>
          <t>34(a)</t>
        </is>
      </c>
      <c r="B113" s="7" t="inlineStr">
        <is>
          <t>34</t>
        </is>
      </c>
      <c r="C113" s="7" t="inlineStr">
        <is>
          <t>DN-36</t>
        </is>
      </c>
      <c r="D113" s="7" t="inlineStr">
        <is>
          <t>Mortgage Deed (incl. Hypothecation, Collateral Security)</t>
        </is>
      </c>
      <c r="E113" s="7" t="inlineStr">
        <is>
          <t>Security for loan / debt (mortgage, pledge, hypothecation, charge)</t>
        </is>
      </c>
      <c r="F113" s="7" t="inlineStr">
        <is>
          <t>Mortgage - with possession</t>
        </is>
      </c>
      <c r="G113" s="7" t="inlineStr">
        <is>
          <t>LON-03 = Mortgage of immovable AND LON-04 = Yes</t>
        </is>
      </c>
      <c r="H113" s="7" t="inlineStr">
        <is>
          <t>LON-03, LON-04</t>
        </is>
      </c>
      <c r="I113" s="7" t="inlineStr">
        <is>
          <t>LON-01</t>
        </is>
      </c>
      <c r="J113" s="7" t="inlineStr">
        <is>
          <t>LON-09, GEN-11</t>
        </is>
      </c>
      <c r="K113" s="7" t="inlineStr">
        <is>
          <t>Same as other Article</t>
        </is>
      </c>
      <c r="L113" s="7" t="inlineStr">
        <is>
          <t>Same as Conveyance 20(1) on amount secured</t>
        </is>
      </c>
      <c r="M113" s="7" t="inlineStr"/>
      <c r="N113" s="7" t="inlineStr"/>
      <c r="O113" s="7" t="inlineStr"/>
      <c r="P113" s="7" t="inlineStr">
        <is>
          <t>Advances under KLIL / KAL Acts 1963; letter of hypothecation with bill of exchange</t>
        </is>
      </c>
      <c r="Q113" s="7" t="inlineStr">
        <is>
          <t>No</t>
        </is>
      </c>
    </row>
    <row r="114">
      <c r="A114" s="10" t="inlineStr">
        <is>
          <t>34(b)</t>
        </is>
      </c>
      <c r="B114" s="7" t="inlineStr">
        <is>
          <t>34</t>
        </is>
      </c>
      <c r="C114" s="7" t="inlineStr">
        <is>
          <t>DN-36</t>
        </is>
      </c>
      <c r="D114" s="7" t="inlineStr">
        <is>
          <t>Mortgage Deed (incl. Hypothecation, Collateral Security)</t>
        </is>
      </c>
      <c r="E114" s="7" t="inlineStr">
        <is>
          <t>Security for loan / debt (mortgage, pledge, hypothecation, charge)</t>
        </is>
      </c>
      <c r="F114" s="7" t="inlineStr">
        <is>
          <t>Mortgage - without possession (not hypothecation)</t>
        </is>
      </c>
      <c r="G114" s="7" t="inlineStr">
        <is>
          <t>LON-03 = Mortgage of immovable AND LON-04 = No</t>
        </is>
      </c>
      <c r="H114" s="7" t="inlineStr">
        <is>
          <t>LON-03, LON-04</t>
        </is>
      </c>
      <c r="I114" s="7" t="inlineStr">
        <is>
          <t>LON-01</t>
        </is>
      </c>
      <c r="J114" s="7" t="inlineStr">
        <is>
          <t>LON-09, GEN-11</t>
        </is>
      </c>
      <c r="K114" s="7" t="inlineStr">
        <is>
          <t>Ad valorem</t>
        </is>
      </c>
      <c r="L114" s="7" t="inlineStr">
        <is>
          <t>50 paise per Rs. 100 or part (0.5%) of amount secured</t>
        </is>
      </c>
      <c r="M114" s="7" t="inlineStr"/>
      <c r="N114" s="7" t="inlineStr"/>
      <c r="O114" s="7" t="inlineStr"/>
      <c r="P114" s="7" t="inlineStr">
        <is>
          <t>Advances under KLIL / KAL Acts 1963</t>
        </is>
      </c>
      <c r="Q114" s="7" t="inlineStr">
        <is>
          <t>No</t>
        </is>
      </c>
    </row>
    <row r="115">
      <c r="A115" s="10" t="inlineStr">
        <is>
          <t>34(c)(i)</t>
        </is>
      </c>
      <c r="B115" s="7" t="inlineStr">
        <is>
          <t>34</t>
        </is>
      </c>
      <c r="C115" s="7" t="inlineStr">
        <is>
          <t>DN-36</t>
        </is>
      </c>
      <c r="D115" s="7" t="inlineStr">
        <is>
          <t>Mortgage Deed (incl. Hypothecation, Collateral Security)</t>
        </is>
      </c>
      <c r="E115" s="7" t="inlineStr">
        <is>
          <t>Security for loan / debt (mortgage, pledge, hypothecation, charge)</t>
        </is>
      </c>
      <c r="F115" s="7" t="inlineStr">
        <is>
          <t>Collateral / additional security - sum &lt;= Rs.1,000</t>
        </is>
      </c>
      <c r="G115" s="7" t="inlineStr">
        <is>
          <t>LON-03 = Collateral AND LON-05 = Yes AND LON-01 &lt;= 1,000</t>
        </is>
      </c>
      <c r="H115" s="7" t="inlineStr">
        <is>
          <t>LON-03, LON-05, LON-01</t>
        </is>
      </c>
      <c r="I115" s="7" t="inlineStr"/>
      <c r="J115" s="7" t="inlineStr"/>
      <c r="K115" s="7" t="inlineStr">
        <is>
          <t>Fixed</t>
        </is>
      </c>
      <c r="L115" s="7" t="inlineStr">
        <is>
          <t>Rs. 10</t>
        </is>
      </c>
      <c r="M115" s="7" t="inlineStr"/>
      <c r="N115" s="7" t="inlineStr"/>
      <c r="O115" s="7" t="inlineStr"/>
      <c r="P115" s="7" t="inlineStr"/>
      <c r="Q115" s="7" t="inlineStr">
        <is>
          <t>No</t>
        </is>
      </c>
    </row>
    <row r="116">
      <c r="A116" s="10" t="inlineStr">
        <is>
          <t>34(c)(ii)</t>
        </is>
      </c>
      <c r="B116" s="7" t="inlineStr">
        <is>
          <t>34</t>
        </is>
      </c>
      <c r="C116" s="7" t="inlineStr">
        <is>
          <t>DN-36</t>
        </is>
      </c>
      <c r="D116" s="7" t="inlineStr">
        <is>
          <t>Mortgage Deed (incl. Hypothecation, Collateral Security)</t>
        </is>
      </c>
      <c r="E116" s="7" t="inlineStr">
        <is>
          <t>Security for loan / debt (mortgage, pledge, hypothecation, charge)</t>
        </is>
      </c>
      <c r="F116" s="7" t="inlineStr">
        <is>
          <t>Collateral / additional security - sum &gt; Rs.1,000</t>
        </is>
      </c>
      <c r="G116" s="7" t="inlineStr">
        <is>
          <t>LON-03 = Collateral AND LON-05 = Yes AND LON-01 &gt; 1,000</t>
        </is>
      </c>
      <c r="H116" s="7" t="inlineStr">
        <is>
          <t>LON-03, LON-05, LON-01</t>
        </is>
      </c>
      <c r="I116" s="7" t="inlineStr">
        <is>
          <t>LON-01</t>
        </is>
      </c>
      <c r="J116" s="7" t="inlineStr"/>
      <c r="K116" s="7" t="inlineStr">
        <is>
          <t>Slab</t>
        </is>
      </c>
      <c r="L116" s="7" t="inlineStr">
        <is>
          <t>Rs. 10 + Re. 1 for every Rs. 1,000 or part in excess of Rs. 1,000</t>
        </is>
      </c>
      <c r="M116" s="7" t="inlineStr"/>
      <c r="N116" s="7" t="inlineStr"/>
      <c r="O116" s="7" t="inlineStr"/>
      <c r="P116" s="7" t="inlineStr"/>
      <c r="Q116" s="7" t="inlineStr">
        <is>
          <t>No</t>
        </is>
      </c>
    </row>
    <row r="117">
      <c r="A117" s="10" t="inlineStr">
        <is>
          <t>34(d)(i)</t>
        </is>
      </c>
      <c r="B117" s="7" t="inlineStr">
        <is>
          <t>34</t>
        </is>
      </c>
      <c r="C117" s="7" t="inlineStr">
        <is>
          <t>DN-36</t>
        </is>
      </c>
      <c r="D117" s="7" t="inlineStr">
        <is>
          <t>Mortgage Deed (incl. Hypothecation, Collateral Security)</t>
        </is>
      </c>
      <c r="E117" s="7" t="inlineStr">
        <is>
          <t>Security for loan / debt (mortgage, pledge, hypothecation, charge)</t>
        </is>
      </c>
      <c r="F117" s="7" t="inlineStr">
        <is>
          <t>Hypothecation of movable - loan up to Rs.10 lakh (on demand)</t>
        </is>
      </c>
      <c r="G117" s="7" t="inlineStr">
        <is>
          <t>LON-03 = Hypothecation AND LON-02 = Yes AND LON-01 &lt;= 10,00,000</t>
        </is>
      </c>
      <c r="H117" s="7" t="inlineStr">
        <is>
          <t>LON-03, LON-02, LON-01</t>
        </is>
      </c>
      <c r="I117" s="7" t="inlineStr">
        <is>
          <t>LON-01</t>
        </is>
      </c>
      <c r="J117" s="7" t="inlineStr">
        <is>
          <t>LON-12</t>
        </is>
      </c>
      <c r="K117" s="7" t="inlineStr">
        <is>
          <t>Ad valorem</t>
        </is>
      </c>
      <c r="L117" s="7" t="inlineStr">
        <is>
          <t>Rs. 10 for every Rs. 10,000 or part (0.1%)</t>
        </is>
      </c>
      <c r="M117" s="7" t="inlineStr"/>
      <c r="N117" s="7" t="inlineStr"/>
      <c r="O117" s="7" t="inlineStr"/>
      <c r="P117" s="7" t="inlineStr">
        <is>
          <t>Letter of hypothecation accompanying bill of exchange</t>
        </is>
      </c>
      <c r="Q117" s="7" t="inlineStr">
        <is>
          <t>No</t>
        </is>
      </c>
    </row>
    <row r="118">
      <c r="A118" s="10" t="inlineStr">
        <is>
          <t>34(d)(ii)</t>
        </is>
      </c>
      <c r="B118" s="7" t="inlineStr">
        <is>
          <t>34</t>
        </is>
      </c>
      <c r="C118" s="7" t="inlineStr">
        <is>
          <t>DN-36</t>
        </is>
      </c>
      <c r="D118" s="7" t="inlineStr">
        <is>
          <t>Mortgage Deed (incl. Hypothecation, Collateral Security)</t>
        </is>
      </c>
      <c r="E118" s="7" t="inlineStr">
        <is>
          <t>Security for loan / debt (mortgage, pledge, hypothecation, charge)</t>
        </is>
      </c>
      <c r="F118" s="7" t="inlineStr">
        <is>
          <t>Hypothecation of movable - loan above Rs.10 lakh (on demand)</t>
        </is>
      </c>
      <c r="G118" s="7" t="inlineStr">
        <is>
          <t>LON-03 = Hypothecation AND LON-02 = Yes AND LON-01 &gt; 10,00,000</t>
        </is>
      </c>
      <c r="H118" s="7" t="inlineStr">
        <is>
          <t>LON-03, LON-02, LON-01</t>
        </is>
      </c>
      <c r="I118" s="7" t="inlineStr">
        <is>
          <t>LON-01</t>
        </is>
      </c>
      <c r="J118" s="7" t="inlineStr">
        <is>
          <t>LON-12</t>
        </is>
      </c>
      <c r="K118" s="7" t="inlineStr">
        <is>
          <t>Ad valorem</t>
        </is>
      </c>
      <c r="L118" s="7" t="inlineStr">
        <is>
          <t>Rs. 20 for every Rs. 10,000 or part (0.2%)</t>
        </is>
      </c>
      <c r="M118" s="7" t="inlineStr"/>
      <c r="N118" s="7" t="inlineStr">
        <is>
          <t>Rs. 10,00,000</t>
        </is>
      </c>
      <c r="O118" s="7" t="inlineStr"/>
      <c r="P118" s="7" t="inlineStr"/>
      <c r="Q118" s="7" t="inlineStr">
        <is>
          <t>No</t>
        </is>
      </c>
    </row>
    <row r="119">
      <c r="A119" s="10" t="inlineStr">
        <is>
          <t>35(a)</t>
        </is>
      </c>
      <c r="B119" s="7" t="inlineStr">
        <is>
          <t>35</t>
        </is>
      </c>
      <c r="C119" s="7" t="inlineStr">
        <is>
          <t>DN-37</t>
        </is>
      </c>
      <c r="D119" s="7" t="inlineStr">
        <is>
          <t>Mortgage of Crop</t>
        </is>
      </c>
      <c r="E119" s="7" t="inlineStr">
        <is>
          <t>Security for loan / debt (mortgage, pledge, hypothecation, charge)</t>
        </is>
      </c>
      <c r="F119" s="7" t="inlineStr">
        <is>
          <t>Mortgage of crop - repayable within 3 months</t>
        </is>
      </c>
      <c r="G119" s="7" t="inlineStr">
        <is>
          <t>LON-10 &lt;= 3</t>
        </is>
      </c>
      <c r="H119" s="7" t="inlineStr">
        <is>
          <t>LON-10</t>
        </is>
      </c>
      <c r="I119" s="7" t="inlineStr">
        <is>
          <t>LON-01</t>
        </is>
      </c>
      <c r="J119" s="7" t="inlineStr"/>
      <c r="K119" s="7" t="inlineStr">
        <is>
          <t>Slab</t>
        </is>
      </c>
      <c r="L119" s="7" t="inlineStr">
        <is>
          <t>50 paise for every Rs. 200 or part secured</t>
        </is>
      </c>
      <c r="M119" s="7" t="inlineStr"/>
      <c r="N119" s="7" t="inlineStr"/>
      <c r="O119" s="7" t="inlineStr"/>
      <c r="P119" s="7" t="inlineStr"/>
      <c r="Q119" s="7" t="inlineStr">
        <is>
          <t>No</t>
        </is>
      </c>
    </row>
    <row r="120">
      <c r="A120" s="10" t="inlineStr">
        <is>
          <t>35(b)</t>
        </is>
      </c>
      <c r="B120" s="7" t="inlineStr">
        <is>
          <t>35</t>
        </is>
      </c>
      <c r="C120" s="7" t="inlineStr">
        <is>
          <t>DN-37</t>
        </is>
      </c>
      <c r="D120" s="7" t="inlineStr">
        <is>
          <t>Mortgage of Crop</t>
        </is>
      </c>
      <c r="E120" s="7" t="inlineStr">
        <is>
          <t>Security for loan / debt (mortgage, pledge, hypothecation, charge)</t>
        </is>
      </c>
      <c r="F120" s="7" t="inlineStr">
        <is>
          <t>Mortgage of crop - repayable in 3 to 18 months</t>
        </is>
      </c>
      <c r="G120" s="7" t="inlineStr">
        <is>
          <t>3 &lt; LON-10 &lt;= 18</t>
        </is>
      </c>
      <c r="H120" s="7" t="inlineStr">
        <is>
          <t>LON-10</t>
        </is>
      </c>
      <c r="I120" s="7" t="inlineStr">
        <is>
          <t>LON-01</t>
        </is>
      </c>
      <c r="J120" s="7" t="inlineStr"/>
      <c r="K120" s="7" t="inlineStr">
        <is>
          <t>Slab</t>
        </is>
      </c>
      <c r="L120" s="7" t="inlineStr">
        <is>
          <t>50 paise for every Rs. 100 or part secured</t>
        </is>
      </c>
      <c r="M120" s="7" t="inlineStr"/>
      <c r="N120" s="7" t="inlineStr"/>
      <c r="O120" s="7" t="inlineStr"/>
      <c r="P120" s="7" t="inlineStr"/>
      <c r="Q120" s="7" t="inlineStr">
        <is>
          <t>No</t>
        </is>
      </c>
    </row>
    <row r="121">
      <c r="A121" s="10" t="inlineStr">
        <is>
          <t>36</t>
        </is>
      </c>
      <c r="B121" s="7" t="inlineStr">
        <is>
          <t>36</t>
        </is>
      </c>
      <c r="C121" s="7" t="inlineStr">
        <is>
          <t>DN-38</t>
        </is>
      </c>
      <c r="D121" s="7" t="inlineStr">
        <is>
          <t>Notarial Act</t>
        </is>
      </c>
      <c r="E121" s="7" t="inlineStr">
        <is>
          <t>Declarations, certificates, copies and notarial instruments</t>
        </is>
      </c>
      <c r="F121" s="7" t="inlineStr">
        <is>
          <t>Notarial act</t>
        </is>
      </c>
      <c r="G121" s="7" t="inlineStr">
        <is>
          <t>Not a protest (Art 42)</t>
        </is>
      </c>
      <c r="H121" s="7" t="inlineStr"/>
      <c r="I121" s="7" t="inlineStr"/>
      <c r="J121" s="7" t="inlineStr"/>
      <c r="K121" s="7" t="inlineStr">
        <is>
          <t>Fixed</t>
        </is>
      </c>
      <c r="L121" s="7" t="inlineStr">
        <is>
          <t>As per Schedule (amount shown as omitted in source copy - confirm current rate with Department)</t>
        </is>
      </c>
      <c r="M121" s="7" t="inlineStr"/>
      <c r="N121" s="7" t="inlineStr"/>
      <c r="O121" s="7" t="inlineStr"/>
      <c r="P121" s="7" t="inlineStr"/>
      <c r="Q121" s="7" t="inlineStr">
        <is>
          <t>No</t>
        </is>
      </c>
    </row>
    <row r="122">
      <c r="A122" s="10" t="inlineStr">
        <is>
          <t>37(a)</t>
        </is>
      </c>
      <c r="B122" s="7" t="inlineStr">
        <is>
          <t>37</t>
        </is>
      </c>
      <c r="C122" s="7" t="inlineStr">
        <is>
          <t>DN-39</t>
        </is>
      </c>
      <c r="D122" s="7" t="inlineStr">
        <is>
          <t>Broker / Agent Note or Contract Note</t>
        </is>
      </c>
      <c r="E122" s="7" t="inlineStr">
        <is>
          <t>Business entity / company / securities</t>
        </is>
      </c>
      <c r="F122" s="7" t="inlineStr">
        <is>
          <t>Broker note - goods / commodities / currencies</t>
        </is>
      </c>
      <c r="G122" s="7" t="inlineStr">
        <is>
          <t>CMP-13 = Goods</t>
        </is>
      </c>
      <c r="H122" s="7" t="inlineStr">
        <is>
          <t>CMP-13</t>
        </is>
      </c>
      <c r="I122" s="7" t="inlineStr">
        <is>
          <t>PRP-10</t>
        </is>
      </c>
      <c r="J122" s="7" t="inlineStr"/>
      <c r="K122" s="7" t="inlineStr">
        <is>
          <t>Ad valorem</t>
        </is>
      </c>
      <c r="L122" s="7" t="inlineStr">
        <is>
          <t>30 paise for every Rs. 10,000 or part of value</t>
        </is>
      </c>
      <c r="M122" s="7" t="inlineStr"/>
      <c r="N122" s="7" t="inlineStr"/>
      <c r="O122" s="7" t="inlineStr"/>
      <c r="P122" s="7" t="inlineStr"/>
      <c r="Q122" s="7" t="inlineStr">
        <is>
          <t>No</t>
        </is>
      </c>
    </row>
    <row r="123">
      <c r="A123" s="10" t="inlineStr">
        <is>
          <t>37(b)</t>
        </is>
      </c>
      <c r="B123" s="7" t="inlineStr">
        <is>
          <t>37</t>
        </is>
      </c>
      <c r="C123" s="7" t="inlineStr">
        <is>
          <t>DN-39</t>
        </is>
      </c>
      <c r="D123" s="7" t="inlineStr">
        <is>
          <t>Broker / Agent Note or Contract Note</t>
        </is>
      </c>
      <c r="E123" s="7" t="inlineStr">
        <is>
          <t>Business entity / company / securities</t>
        </is>
      </c>
      <c r="F123" s="7" t="inlineStr">
        <is>
          <t>Broker note - shares / non-Govt securities</t>
        </is>
      </c>
      <c r="G123" s="7" t="inlineStr">
        <is>
          <t>CMP-13 = Shares</t>
        </is>
      </c>
      <c r="H123" s="7" t="inlineStr">
        <is>
          <t>CMP-13</t>
        </is>
      </c>
      <c r="I123" s="7" t="inlineStr">
        <is>
          <t>AGR-08</t>
        </is>
      </c>
      <c r="J123" s="7" t="inlineStr"/>
      <c r="K123" s="7" t="inlineStr">
        <is>
          <t>Ad valorem</t>
        </is>
      </c>
      <c r="L123" s="7" t="inlineStr">
        <is>
          <t>30 paise for every Rs. 10,000 or part</t>
        </is>
      </c>
      <c r="M123" s="7" t="inlineStr"/>
      <c r="N123" s="7" t="inlineStr"/>
      <c r="O123" s="7" t="inlineStr"/>
      <c r="P123" s="7" t="inlineStr"/>
      <c r="Q123" s="7" t="inlineStr">
        <is>
          <t>No</t>
        </is>
      </c>
    </row>
    <row r="124">
      <c r="A124" s="10" t="inlineStr">
        <is>
          <t>37(c)</t>
        </is>
      </c>
      <c r="B124" s="7" t="inlineStr">
        <is>
          <t>37</t>
        </is>
      </c>
      <c r="C124" s="7" t="inlineStr">
        <is>
          <t>DN-39</t>
        </is>
      </c>
      <c r="D124" s="7" t="inlineStr">
        <is>
          <t>Broker / Agent Note or Contract Note</t>
        </is>
      </c>
      <c r="E124" s="7" t="inlineStr">
        <is>
          <t>Business entity / company / securities</t>
        </is>
      </c>
      <c r="F124" s="7" t="inlineStr">
        <is>
          <t>Broker note - Government security</t>
        </is>
      </c>
      <c r="G124" s="7" t="inlineStr">
        <is>
          <t>CMP-13 = Govt security</t>
        </is>
      </c>
      <c r="H124" s="7" t="inlineStr">
        <is>
          <t>CMP-13</t>
        </is>
      </c>
      <c r="I124" s="7" t="inlineStr">
        <is>
          <t>AGR-08</t>
        </is>
      </c>
      <c r="J124" s="7" t="inlineStr"/>
      <c r="K124" s="7" t="inlineStr">
        <is>
          <t>Ad valorem</t>
        </is>
      </c>
      <c r="L124" s="7" t="inlineStr">
        <is>
          <t>30 paise for every Rs. 10,000 or part</t>
        </is>
      </c>
      <c r="M124" s="7" t="inlineStr"/>
      <c r="N124" s="7" t="inlineStr"/>
      <c r="O124" s="7" t="inlineStr"/>
      <c r="P124" s="7" t="inlineStr"/>
      <c r="Q124" s="7" t="inlineStr">
        <is>
          <t>No</t>
        </is>
      </c>
    </row>
    <row r="125">
      <c r="A125" s="10" t="inlineStr">
        <is>
          <t>37(d)</t>
        </is>
      </c>
      <c r="B125" s="7" t="inlineStr">
        <is>
          <t>37</t>
        </is>
      </c>
      <c r="C125" s="7" t="inlineStr">
        <is>
          <t>DN-39</t>
        </is>
      </c>
      <c r="D125" s="7" t="inlineStr">
        <is>
          <t>Broker / Agent Note or Contract Note</t>
        </is>
      </c>
      <c r="E125" s="7" t="inlineStr">
        <is>
          <t>Business entity / company / securities</t>
        </is>
      </c>
      <c r="F125" s="7" t="inlineStr">
        <is>
          <t>Broker note - other securities (delivery / non-delivery)</t>
        </is>
      </c>
      <c r="G125" s="7" t="inlineStr">
        <is>
          <t>CMP-13 = Other securities</t>
        </is>
      </c>
      <c r="H125" s="7" t="inlineStr">
        <is>
          <t>CMP-13</t>
        </is>
      </c>
      <c r="I125" s="7" t="inlineStr">
        <is>
          <t>AGR-08</t>
        </is>
      </c>
      <c r="J125" s="7" t="inlineStr"/>
      <c r="K125" s="7" t="inlineStr">
        <is>
          <t>Ad valorem</t>
        </is>
      </c>
      <c r="L125" s="7" t="inlineStr">
        <is>
          <t>30 paise for every Rs. 10,000 or part</t>
        </is>
      </c>
      <c r="M125" s="7" t="inlineStr"/>
      <c r="N125" s="7" t="inlineStr"/>
      <c r="O125" s="7" t="inlineStr"/>
      <c r="P125" s="7" t="inlineStr"/>
      <c r="Q125" s="7" t="inlineStr">
        <is>
          <t>No</t>
        </is>
      </c>
    </row>
    <row r="126">
      <c r="A126" s="10" t="inlineStr">
        <is>
          <t>37(e)</t>
        </is>
      </c>
      <c r="B126" s="7" t="inlineStr">
        <is>
          <t>37</t>
        </is>
      </c>
      <c r="C126" s="7" t="inlineStr">
        <is>
          <t>DN-39</t>
        </is>
      </c>
      <c r="D126" s="7" t="inlineStr">
        <is>
          <t>Broker / Agent Note or Contract Note</t>
        </is>
      </c>
      <c r="E126" s="7" t="inlineStr">
        <is>
          <t>Business entity / company / securities</t>
        </is>
      </c>
      <c r="F126" s="7" t="inlineStr">
        <is>
          <t>Broker note - futures &amp; options</t>
        </is>
      </c>
      <c r="G126" s="7" t="inlineStr">
        <is>
          <t>CMP-13 = F&amp;O</t>
        </is>
      </c>
      <c r="H126" s="7" t="inlineStr">
        <is>
          <t>CMP-13</t>
        </is>
      </c>
      <c r="I126" s="7" t="inlineStr">
        <is>
          <t>AGR-08</t>
        </is>
      </c>
      <c r="J126" s="7" t="inlineStr"/>
      <c r="K126" s="7" t="inlineStr">
        <is>
          <t>Ad valorem</t>
        </is>
      </c>
      <c r="L126" s="7" t="inlineStr">
        <is>
          <t>30 paise for every Rs. 10,000 or part</t>
        </is>
      </c>
      <c r="M126" s="7" t="inlineStr"/>
      <c r="N126" s="7" t="inlineStr"/>
      <c r="O126" s="7" t="inlineStr"/>
      <c r="P126" s="7" t="inlineStr"/>
      <c r="Q126" s="7" t="inlineStr">
        <is>
          <t>No</t>
        </is>
      </c>
    </row>
    <row r="127">
      <c r="A127" s="10" t="inlineStr">
        <is>
          <t>37(f)</t>
        </is>
      </c>
      <c r="B127" s="7" t="inlineStr">
        <is>
          <t>37</t>
        </is>
      </c>
      <c r="C127" s="7" t="inlineStr">
        <is>
          <t>DN-39</t>
        </is>
      </c>
      <c r="D127" s="7" t="inlineStr">
        <is>
          <t>Broker / Agent Note or Contract Note</t>
        </is>
      </c>
      <c r="E127" s="7" t="inlineStr">
        <is>
          <t>Business entity / company / securities</t>
        </is>
      </c>
      <c r="F127" s="7" t="inlineStr">
        <is>
          <t>Broker note - forward contracts of commodities</t>
        </is>
      </c>
      <c r="G127" s="7" t="inlineStr">
        <is>
          <t>CMP-13 = Forwards</t>
        </is>
      </c>
      <c r="H127" s="7" t="inlineStr">
        <is>
          <t>CMP-13</t>
        </is>
      </c>
      <c r="I127" s="7" t="inlineStr">
        <is>
          <t>AGR-08</t>
        </is>
      </c>
      <c r="J127" s="7" t="inlineStr"/>
      <c r="K127" s="7" t="inlineStr">
        <is>
          <t>Ad valorem</t>
        </is>
      </c>
      <c r="L127" s="7" t="inlineStr">
        <is>
          <t>30 paise for every Rs. 10,000 or part</t>
        </is>
      </c>
      <c r="M127" s="7" t="inlineStr"/>
      <c r="N127" s="7" t="inlineStr"/>
      <c r="O127" s="7" t="inlineStr"/>
      <c r="P127" s="7" t="inlineStr">
        <is>
          <t>Entries required in clearance list (18-A); amount below threshold in schedule</t>
        </is>
      </c>
      <c r="Q127" s="7" t="inlineStr">
        <is>
          <t>No</t>
        </is>
      </c>
    </row>
    <row r="128">
      <c r="A128" s="10" t="inlineStr">
        <is>
          <t>38</t>
        </is>
      </c>
      <c r="B128" s="7" t="inlineStr">
        <is>
          <t>38</t>
        </is>
      </c>
      <c r="C128" s="7" t="inlineStr">
        <is>
          <t>DN-40</t>
        </is>
      </c>
      <c r="D128" s="7" t="inlineStr">
        <is>
          <t>Note of Protest by Master of Ship</t>
        </is>
      </c>
      <c r="E128" s="7" t="inlineStr">
        <is>
          <t>Shipping, goods and trade documents</t>
        </is>
      </c>
      <c r="F128" s="7" t="inlineStr">
        <is>
          <t>Note of protest by master of ship</t>
        </is>
      </c>
      <c r="G128" s="7" t="inlineStr">
        <is>
          <t>Nature of document selected (no further condition)</t>
        </is>
      </c>
      <c r="H128" s="7" t="inlineStr"/>
      <c r="I128" s="7" t="inlineStr"/>
      <c r="J128" s="7" t="inlineStr"/>
      <c r="K128" s="7" t="inlineStr">
        <is>
          <t>Fixed</t>
        </is>
      </c>
      <c r="L128" s="7" t="inlineStr">
        <is>
          <t>Rs. 50</t>
        </is>
      </c>
      <c r="M128" s="7" t="inlineStr"/>
      <c r="N128" s="7" t="inlineStr"/>
      <c r="O128" s="7" t="inlineStr"/>
      <c r="P128" s="7" t="inlineStr"/>
      <c r="Q128" s="7" t="inlineStr">
        <is>
          <t>No</t>
        </is>
      </c>
    </row>
    <row r="129">
      <c r="A129" s="10" t="inlineStr">
        <is>
          <t>39(a)(1)</t>
        </is>
      </c>
      <c r="B129" s="7" t="inlineStr">
        <is>
          <t>39</t>
        </is>
      </c>
      <c r="C129" s="7" t="inlineStr">
        <is>
          <t>DN-41</t>
        </is>
      </c>
      <c r="D129" s="7" t="inlineStr">
        <is>
          <t>Partition Deed</t>
        </is>
      </c>
      <c r="E129" s="7" t="inlineStr">
        <is>
          <t>Division / distribution of property (partition, settlement, trust)</t>
        </is>
      </c>
      <c r="F129" s="7" t="inlineStr">
        <is>
          <t>Partition - non-agricultural property in urban local body</t>
        </is>
      </c>
      <c r="G129" s="7" t="inlineStr">
        <is>
          <t>PRT-02 = only Non-agri in Municipal Corp / UDA / CMC / TMC / TP</t>
        </is>
      </c>
      <c r="H129" s="7" t="inlineStr">
        <is>
          <t>PRP-02, PRT-02</t>
        </is>
      </c>
      <c r="I129" s="7" t="inlineStr">
        <is>
          <t>PRT-01</t>
        </is>
      </c>
      <c r="J129" s="7" t="inlineStr">
        <is>
          <t>PRT-03</t>
        </is>
      </c>
      <c r="K129" s="7" t="inlineStr">
        <is>
          <t>Fixed</t>
        </is>
      </c>
      <c r="L129" s="7" t="inlineStr">
        <is>
          <t>Rs. 1,000 for each share</t>
        </is>
      </c>
      <c r="M129" s="7" t="inlineStr"/>
      <c r="N129" s="7" t="inlineStr"/>
      <c r="O129" s="7" t="inlineStr">
        <is>
          <t>Earlier partition order / award stamped: max Rs.50 (PRT-03)</t>
        </is>
      </c>
      <c r="P129" s="7" t="inlineStr"/>
      <c r="Q129" s="7" t="inlineStr">
        <is>
          <t>No</t>
        </is>
      </c>
    </row>
    <row r="130">
      <c r="A130" s="10" t="inlineStr">
        <is>
          <t>39(a)(2)</t>
        </is>
      </c>
      <c r="B130" s="7" t="inlineStr">
        <is>
          <t>39</t>
        </is>
      </c>
      <c r="C130" s="7" t="inlineStr">
        <is>
          <t>DN-41</t>
        </is>
      </c>
      <c r="D130" s="7" t="inlineStr">
        <is>
          <t>Partition Deed</t>
        </is>
      </c>
      <c r="E130" s="7" t="inlineStr">
        <is>
          <t>Division / distribution of property (partition, settlement, trust)</t>
        </is>
      </c>
      <c r="F130" s="7" t="inlineStr">
        <is>
          <t>Partition - non-agricultural property in other areas</t>
        </is>
      </c>
      <c r="G130" s="7" t="inlineStr">
        <is>
          <t>PRT-02 = only Non-agri in other areas</t>
        </is>
      </c>
      <c r="H130" s="7" t="inlineStr">
        <is>
          <t>PRP-02, PRT-02</t>
        </is>
      </c>
      <c r="I130" s="7" t="inlineStr">
        <is>
          <t>PRT-01</t>
        </is>
      </c>
      <c r="J130" s="7" t="inlineStr">
        <is>
          <t>PRT-03</t>
        </is>
      </c>
      <c r="K130" s="7" t="inlineStr">
        <is>
          <t>Fixed</t>
        </is>
      </c>
      <c r="L130" s="7" t="inlineStr">
        <is>
          <t>Rs. 500 for each share</t>
        </is>
      </c>
      <c r="M130" s="7" t="inlineStr"/>
      <c r="N130" s="7" t="inlineStr"/>
      <c r="O130" s="7" t="inlineStr">
        <is>
          <t>Earlier order / award stamped: max Rs.50</t>
        </is>
      </c>
      <c r="P130" s="7" t="inlineStr"/>
      <c r="Q130" s="7" t="inlineStr">
        <is>
          <t>No</t>
        </is>
      </c>
    </row>
    <row r="131">
      <c r="A131" s="10" t="inlineStr">
        <is>
          <t>39(b)</t>
        </is>
      </c>
      <c r="B131" s="7" t="inlineStr">
        <is>
          <t>39</t>
        </is>
      </c>
      <c r="C131" s="7" t="inlineStr">
        <is>
          <t>DN-41</t>
        </is>
      </c>
      <c r="D131" s="7" t="inlineStr">
        <is>
          <t>Partition Deed</t>
        </is>
      </c>
      <c r="E131" s="7" t="inlineStr">
        <is>
          <t>Division / distribution of property (partition, settlement, trust)</t>
        </is>
      </c>
      <c r="F131" s="7" t="inlineStr">
        <is>
          <t>Partition - agricultural land</t>
        </is>
      </c>
      <c r="G131" s="7" t="inlineStr">
        <is>
          <t>PRT-02 = only Agricultural land</t>
        </is>
      </c>
      <c r="H131" s="7" t="inlineStr">
        <is>
          <t>PRP-02, PRT-02</t>
        </is>
      </c>
      <c r="I131" s="7" t="inlineStr">
        <is>
          <t>PRT-01</t>
        </is>
      </c>
      <c r="J131" s="7" t="inlineStr">
        <is>
          <t>PRT-03</t>
        </is>
      </c>
      <c r="K131" s="7" t="inlineStr">
        <is>
          <t>Fixed</t>
        </is>
      </c>
      <c r="L131" s="7" t="inlineStr">
        <is>
          <t>Rs. 250 for each share</t>
        </is>
      </c>
      <c r="M131" s="7" t="inlineStr"/>
      <c r="N131" s="7" t="inlineStr"/>
      <c r="O131" s="7" t="inlineStr">
        <is>
          <t>Earlier order / award stamped: max Rs.50</t>
        </is>
      </c>
      <c r="P131" s="7" t="inlineStr"/>
      <c r="Q131" s="7" t="inlineStr">
        <is>
          <t>No</t>
        </is>
      </c>
    </row>
    <row r="132">
      <c r="A132" s="10" t="inlineStr">
        <is>
          <t>39(c)</t>
        </is>
      </c>
      <c r="B132" s="7" t="inlineStr">
        <is>
          <t>39</t>
        </is>
      </c>
      <c r="C132" s="7" t="inlineStr">
        <is>
          <t>DN-41</t>
        </is>
      </c>
      <c r="D132" s="7" t="inlineStr">
        <is>
          <t>Partition Deed</t>
        </is>
      </c>
      <c r="E132" s="7" t="inlineStr">
        <is>
          <t>Division / distribution of property (partition, settlement, trust)</t>
        </is>
      </c>
      <c r="F132" s="7" t="inlineStr">
        <is>
          <t>Partition - movable property / money</t>
        </is>
      </c>
      <c r="G132" s="7" t="inlineStr">
        <is>
          <t>PRT-02 = only Movable / money</t>
        </is>
      </c>
      <c r="H132" s="7" t="inlineStr">
        <is>
          <t>PRP-02, PRT-02</t>
        </is>
      </c>
      <c r="I132" s="7" t="inlineStr">
        <is>
          <t>PRT-01</t>
        </is>
      </c>
      <c r="J132" s="7" t="inlineStr">
        <is>
          <t>PRT-03</t>
        </is>
      </c>
      <c r="K132" s="7" t="inlineStr">
        <is>
          <t>Fixed</t>
        </is>
      </c>
      <c r="L132" s="7" t="inlineStr">
        <is>
          <t>Rs. 250 for each share</t>
        </is>
      </c>
      <c r="M132" s="7" t="inlineStr"/>
      <c r="N132" s="7" t="inlineStr"/>
      <c r="O132" s="7" t="inlineStr">
        <is>
          <t>Earlier order / award stamped: max Rs.50</t>
        </is>
      </c>
      <c r="P132" s="7" t="inlineStr"/>
      <c r="Q132" s="7" t="inlineStr">
        <is>
          <t>No</t>
        </is>
      </c>
    </row>
    <row r="133">
      <c r="A133" s="10" t="inlineStr">
        <is>
          <t>39(d)</t>
        </is>
      </c>
      <c r="B133" s="7" t="inlineStr">
        <is>
          <t>39</t>
        </is>
      </c>
      <c r="C133" s="7" t="inlineStr">
        <is>
          <t>DN-41</t>
        </is>
      </c>
      <c r="D133" s="7" t="inlineStr">
        <is>
          <t>Partition Deed</t>
        </is>
      </c>
      <c r="E133" s="7" t="inlineStr">
        <is>
          <t>Division / distribution of property (partition, settlement, trust)</t>
        </is>
      </c>
      <c r="F133" s="7" t="inlineStr">
        <is>
          <t>Partition - combination of categories</t>
        </is>
      </c>
      <c r="G133" s="7" t="inlineStr">
        <is>
          <t>PRT-02 has more than one category</t>
        </is>
      </c>
      <c r="H133" s="7" t="inlineStr">
        <is>
          <t>PRP-02, PRT-02</t>
        </is>
      </c>
      <c r="I133" s="7" t="inlineStr">
        <is>
          <t>PRT-01</t>
        </is>
      </c>
      <c r="J133" s="7" t="inlineStr">
        <is>
          <t>PRT-03</t>
        </is>
      </c>
      <c r="K133" s="7" t="inlineStr">
        <is>
          <t>Fixed</t>
        </is>
      </c>
      <c r="L133" s="7" t="inlineStr">
        <is>
          <t>Maximum of the duties under (a), (b), (c) for each share</t>
        </is>
      </c>
      <c r="M133" s="7" t="inlineStr"/>
      <c r="N133" s="7" t="inlineStr"/>
      <c r="O133" s="7" t="inlineStr">
        <is>
          <t>Earlier order / award stamped: max Rs.50</t>
        </is>
      </c>
      <c r="P133" s="7" t="inlineStr"/>
      <c r="Q133" s="7" t="inlineStr">
        <is>
          <t>No</t>
        </is>
      </c>
    </row>
    <row r="134">
      <c r="A134" s="10" t="inlineStr">
        <is>
          <t>40-A</t>
        </is>
      </c>
      <c r="B134" s="7" t="inlineStr">
        <is>
          <t>40</t>
        </is>
      </c>
      <c r="C134" s="7" t="inlineStr">
        <is>
          <t>DN-42</t>
        </is>
      </c>
      <c r="D134" s="7" t="inlineStr">
        <is>
          <t>Partnership (Constitution / Reconstitution / Dissolution)</t>
        </is>
      </c>
      <c r="E134" s="7" t="inlineStr">
        <is>
          <t>Business entity / company / securities</t>
        </is>
      </c>
      <c r="F134" s="7" t="inlineStr">
        <is>
          <t>Partnership - instrument of constitution</t>
        </is>
      </c>
      <c r="G134" s="7" t="inlineStr">
        <is>
          <t>PTN-01 = Constitution</t>
        </is>
      </c>
      <c r="H134" s="7" t="inlineStr">
        <is>
          <t>PTN-01</t>
        </is>
      </c>
      <c r="I134" s="7" t="inlineStr"/>
      <c r="J134" s="7" t="inlineStr"/>
      <c r="K134" s="7" t="inlineStr">
        <is>
          <t>Fixed</t>
        </is>
      </c>
      <c r="L134" s="7" t="inlineStr">
        <is>
          <t>Rs. 2,000</t>
        </is>
      </c>
      <c r="M134" s="7" t="inlineStr"/>
      <c r="N134" s="7" t="inlineStr"/>
      <c r="O134" s="7" t="inlineStr"/>
      <c r="P134" s="7" t="inlineStr"/>
      <c r="Q134" s="7" t="inlineStr">
        <is>
          <t>No</t>
        </is>
      </c>
    </row>
    <row r="135">
      <c r="A135" s="10" t="inlineStr">
        <is>
          <t>40-B(a)</t>
        </is>
      </c>
      <c r="B135" s="7" t="inlineStr">
        <is>
          <t>40</t>
        </is>
      </c>
      <c r="C135" s="7" t="inlineStr">
        <is>
          <t>DN-42</t>
        </is>
      </c>
      <c r="D135" s="7" t="inlineStr">
        <is>
          <t>Partnership (Constitution / Reconstitution / Dissolution)</t>
        </is>
      </c>
      <c r="E135" s="7" t="inlineStr">
        <is>
          <t>Business entity / company / securities</t>
        </is>
      </c>
      <c r="F135" s="7" t="inlineStr">
        <is>
          <t>Partnership reconstitution - outgoing partner's immovable property remains with firm</t>
        </is>
      </c>
      <c r="G135" s="7" t="inlineStr">
        <is>
          <t>PTN-01 = Reconstitution AND PTN-02 = Yes</t>
        </is>
      </c>
      <c r="H135" s="7" t="inlineStr">
        <is>
          <t>PTN-01, PTN-02</t>
        </is>
      </c>
      <c r="I135" s="7" t="inlineStr">
        <is>
          <t>PTN-02</t>
        </is>
      </c>
      <c r="J135" s="7" t="inlineStr"/>
      <c r="K135" s="7" t="inlineStr">
        <is>
          <t>Ad valorem</t>
        </is>
      </c>
      <c r="L135" s="7" t="inlineStr">
        <is>
          <t>3% on MV of immovable property remaining with the firm</t>
        </is>
      </c>
      <c r="M135" s="7" t="inlineStr"/>
      <c r="N135" s="7" t="inlineStr"/>
      <c r="O135" s="7" t="inlineStr"/>
      <c r="P135" s="7" t="inlineStr"/>
      <c r="Q135" s="11" t="inlineStr">
        <is>
          <t>Yes</t>
        </is>
      </c>
    </row>
    <row r="136">
      <c r="A136" s="10" t="inlineStr">
        <is>
          <t>40-B(b)</t>
        </is>
      </c>
      <c r="B136" s="7" t="inlineStr">
        <is>
          <t>40</t>
        </is>
      </c>
      <c r="C136" s="7" t="inlineStr">
        <is>
          <t>DN-42</t>
        </is>
      </c>
      <c r="D136" s="7" t="inlineStr">
        <is>
          <t>Partnership (Constitution / Reconstitution / Dissolution)</t>
        </is>
      </c>
      <c r="E136" s="7" t="inlineStr">
        <is>
          <t>Business entity / company / securities</t>
        </is>
      </c>
      <c r="F136" s="7" t="inlineStr">
        <is>
          <t>Partnership reconstitution - other</t>
        </is>
      </c>
      <c r="G136" s="7" t="inlineStr">
        <is>
          <t>PTN-01 = Reconstitution AND PTN-02 = No</t>
        </is>
      </c>
      <c r="H136" s="7" t="inlineStr">
        <is>
          <t>PTN-01, PTN-02</t>
        </is>
      </c>
      <c r="I136" s="7" t="inlineStr"/>
      <c r="J136" s="7" t="inlineStr"/>
      <c r="K136" s="7" t="inlineStr">
        <is>
          <t>Fixed</t>
        </is>
      </c>
      <c r="L136" s="7" t="inlineStr">
        <is>
          <t>Rs. 1,000</t>
        </is>
      </c>
      <c r="M136" s="7" t="inlineStr"/>
      <c r="N136" s="7" t="inlineStr"/>
      <c r="O136" s="7" t="inlineStr"/>
      <c r="P136" s="7" t="inlineStr"/>
      <c r="Q136" s="7" t="inlineStr">
        <is>
          <t>No</t>
        </is>
      </c>
    </row>
    <row r="137">
      <c r="A137" s="10" t="inlineStr">
        <is>
          <t>40-C(a)</t>
        </is>
      </c>
      <c r="B137" s="7" t="inlineStr">
        <is>
          <t>40</t>
        </is>
      </c>
      <c r="C137" s="7" t="inlineStr">
        <is>
          <t>DN-42</t>
        </is>
      </c>
      <c r="D137" s="7" t="inlineStr">
        <is>
          <t>Partnership (Constitution / Reconstitution / Dissolution)</t>
        </is>
      </c>
      <c r="E137" s="7" t="inlineStr">
        <is>
          <t>Business entity / company / securities</t>
        </is>
      </c>
      <c r="F137" s="7" t="inlineStr">
        <is>
          <t>Partnership dissolution - partner's property allotted to another</t>
        </is>
      </c>
      <c r="G137" s="7" t="inlineStr">
        <is>
          <t>PTN-01 = Dissolution AND PTN-03 = Yes</t>
        </is>
      </c>
      <c r="H137" s="7" t="inlineStr">
        <is>
          <t>PTN-01, PTN-03</t>
        </is>
      </c>
      <c r="I137" s="7" t="inlineStr">
        <is>
          <t>PTN-03</t>
        </is>
      </c>
      <c r="J137" s="7" t="inlineStr"/>
      <c r="K137" s="7" t="inlineStr">
        <is>
          <t>Ad valorem</t>
        </is>
      </c>
      <c r="L137" s="7" t="inlineStr">
        <is>
          <t>3% on MV of property distributed / allotted + Rs. 1,000 (duty otherwise chargeable)</t>
        </is>
      </c>
      <c r="M137" s="7" t="inlineStr"/>
      <c r="N137" s="7" t="inlineStr"/>
      <c r="O137" s="7" t="inlineStr"/>
      <c r="P137" s="7" t="inlineStr"/>
      <c r="Q137" s="11" t="inlineStr">
        <is>
          <t>Yes</t>
        </is>
      </c>
    </row>
    <row r="138">
      <c r="A138" s="10" t="inlineStr">
        <is>
          <t>40-C(b)</t>
        </is>
      </c>
      <c r="B138" s="7" t="inlineStr">
        <is>
          <t>40</t>
        </is>
      </c>
      <c r="C138" s="7" t="inlineStr">
        <is>
          <t>DN-42</t>
        </is>
      </c>
      <c r="D138" s="7" t="inlineStr">
        <is>
          <t>Partnership (Constitution / Reconstitution / Dissolution)</t>
        </is>
      </c>
      <c r="E138" s="7" t="inlineStr">
        <is>
          <t>Business entity / company / securities</t>
        </is>
      </c>
      <c r="F138" s="7" t="inlineStr">
        <is>
          <t>Partnership dissolution - other</t>
        </is>
      </c>
      <c r="G138" s="7" t="inlineStr">
        <is>
          <t>PTN-01 = Dissolution AND PTN-03 = No</t>
        </is>
      </c>
      <c r="H138" s="7" t="inlineStr">
        <is>
          <t>PTN-01, PTN-03</t>
        </is>
      </c>
      <c r="I138" s="7" t="inlineStr"/>
      <c r="J138" s="7" t="inlineStr"/>
      <c r="K138" s="7" t="inlineStr">
        <is>
          <t>Fixed</t>
        </is>
      </c>
      <c r="L138" s="7" t="inlineStr">
        <is>
          <t>Rs. 1,000</t>
        </is>
      </c>
      <c r="M138" s="7" t="inlineStr"/>
      <c r="N138" s="7" t="inlineStr"/>
      <c r="O138" s="7" t="inlineStr"/>
      <c r="P138" s="7" t="inlineStr"/>
      <c r="Q138" s="7" t="inlineStr">
        <is>
          <t>No</t>
        </is>
      </c>
    </row>
    <row r="139">
      <c r="A139" s="10" t="inlineStr">
        <is>
          <t>40A-A(a)</t>
        </is>
      </c>
      <c r="B139" s="7" t="inlineStr">
        <is>
          <t>40-A</t>
        </is>
      </c>
      <c r="C139" s="7" t="inlineStr">
        <is>
          <t>DN-43</t>
        </is>
      </c>
      <c r="D139" s="7" t="inlineStr">
        <is>
          <t>Limited Liability Partnership</t>
        </is>
      </c>
      <c r="E139" s="7" t="inlineStr">
        <is>
          <t>Business entity / company / securities</t>
        </is>
      </c>
      <c r="F139" s="7" t="inlineStr">
        <is>
          <t>LLP constitution / conversion - capital up to Rs.10 lakh</t>
        </is>
      </c>
      <c r="G139" s="7" t="inlineStr">
        <is>
          <t>LLP-01 in (Constitution, Conversion) AND LLP-02 &lt;= 10,00,000</t>
        </is>
      </c>
      <c r="H139" s="7" t="inlineStr">
        <is>
          <t>LLP-01, LLP-02</t>
        </is>
      </c>
      <c r="I139" s="7" t="inlineStr">
        <is>
          <t>LLP-02</t>
        </is>
      </c>
      <c r="J139" s="7" t="inlineStr"/>
      <c r="K139" s="7" t="inlineStr">
        <is>
          <t>Fixed</t>
        </is>
      </c>
      <c r="L139" s="7" t="inlineStr">
        <is>
          <t>Rs. 1,000</t>
        </is>
      </c>
      <c r="M139" s="7" t="inlineStr"/>
      <c r="N139" s="7" t="inlineStr"/>
      <c r="O139" s="7" t="inlineStr"/>
      <c r="P139" s="7" t="inlineStr"/>
      <c r="Q139" s="7" t="inlineStr">
        <is>
          <t>No</t>
        </is>
      </c>
    </row>
    <row r="140">
      <c r="A140" s="10" t="inlineStr">
        <is>
          <t>40A-A(b)</t>
        </is>
      </c>
      <c r="B140" s="7" t="inlineStr">
        <is>
          <t>40-A</t>
        </is>
      </c>
      <c r="C140" s="7" t="inlineStr">
        <is>
          <t>DN-43</t>
        </is>
      </c>
      <c r="D140" s="7" t="inlineStr">
        <is>
          <t>Limited Liability Partnership</t>
        </is>
      </c>
      <c r="E140" s="7" t="inlineStr">
        <is>
          <t>Business entity / company / securities</t>
        </is>
      </c>
      <c r="F140" s="7" t="inlineStr">
        <is>
          <t>LLP constitution / conversion - capital above Rs.10 lakh</t>
        </is>
      </c>
      <c r="G140" s="7" t="inlineStr">
        <is>
          <t>LLP-01 in (Constitution, Conversion) AND LLP-02 &gt; 10,00,000</t>
        </is>
      </c>
      <c r="H140" s="7" t="inlineStr">
        <is>
          <t>LLP-01, LLP-02</t>
        </is>
      </c>
      <c r="I140" s="7" t="inlineStr">
        <is>
          <t>LLP-02</t>
        </is>
      </c>
      <c r="J140" s="7" t="inlineStr"/>
      <c r="K140" s="7" t="inlineStr">
        <is>
          <t>Slab</t>
        </is>
      </c>
      <c r="L140" s="7" t="inlineStr">
        <is>
          <t>Rs. 1,000 + Rs. 500 for every Rs. 5 lakh or part exceeding Rs. 10 lakh</t>
        </is>
      </c>
      <c r="M140" s="7" t="inlineStr"/>
      <c r="N140" s="7" t="inlineStr">
        <is>
          <t>Rs. 10,00,000</t>
        </is>
      </c>
      <c r="O140" s="7" t="inlineStr"/>
      <c r="P140" s="7" t="inlineStr"/>
      <c r="Q140" s="7" t="inlineStr">
        <is>
          <t>No</t>
        </is>
      </c>
    </row>
    <row r="141">
      <c r="A141" s="10" t="inlineStr">
        <is>
          <t>40A-B</t>
        </is>
      </c>
      <c r="B141" s="7" t="inlineStr">
        <is>
          <t>40-A</t>
        </is>
      </c>
      <c r="C141" s="7" t="inlineStr">
        <is>
          <t>DN-43</t>
        </is>
      </c>
      <c r="D141" s="7" t="inlineStr">
        <is>
          <t>Limited Liability Partnership</t>
        </is>
      </c>
      <c r="E141" s="7" t="inlineStr">
        <is>
          <t>Business entity / company / securities</t>
        </is>
      </c>
      <c r="F141" s="7" t="inlineStr">
        <is>
          <t>LLP reconstruction / amalgamation</t>
        </is>
      </c>
      <c r="G141" s="7" t="inlineStr">
        <is>
          <t>LLP-01 = Reconstruction / amalgamation</t>
        </is>
      </c>
      <c r="H141" s="7" t="inlineStr">
        <is>
          <t>LLP-01</t>
        </is>
      </c>
      <c r="I141" s="7" t="inlineStr">
        <is>
          <t>LLP-03</t>
        </is>
      </c>
      <c r="J141" s="7" t="inlineStr"/>
      <c r="K141" s="7" t="inlineStr">
        <is>
          <t>Ad valorem</t>
        </is>
      </c>
      <c r="L141" s="7" t="inlineStr">
        <is>
          <t>3% on consideration or MV of transferor LLP's Karnataka property, whichever higher</t>
        </is>
      </c>
      <c r="M141" s="7" t="inlineStr"/>
      <c r="N141" s="7" t="inlineStr"/>
      <c r="O141" s="7" t="inlineStr"/>
      <c r="P141" s="7" t="inlineStr"/>
      <c r="Q141" s="7" t="inlineStr">
        <is>
          <t>No</t>
        </is>
      </c>
    </row>
    <row r="142">
      <c r="A142" s="10" t="inlineStr">
        <is>
          <t>41(a)</t>
        </is>
      </c>
      <c r="B142" s="7" t="inlineStr">
        <is>
          <t>41</t>
        </is>
      </c>
      <c r="C142" s="7" t="inlineStr">
        <is>
          <t>DN-44</t>
        </is>
      </c>
      <c r="D142" s="7" t="inlineStr">
        <is>
          <t>Power of Attorney</t>
        </is>
      </c>
      <c r="E142" s="7" t="inlineStr">
        <is>
          <t>Authorisation (Power of Attorney / appointment)</t>
        </is>
      </c>
      <c r="F142" s="7" t="inlineStr">
        <is>
          <t>POA - registration / admission of execution only (single transaction)</t>
        </is>
      </c>
      <c r="G142" s="7" t="inlineStr">
        <is>
          <t>POA-01 = PP-01</t>
        </is>
      </c>
      <c r="H142" s="7" t="inlineStr">
        <is>
          <t>POA-01</t>
        </is>
      </c>
      <c r="I142" s="7" t="inlineStr"/>
      <c r="J142" s="7" t="inlineStr"/>
      <c r="K142" s="7" t="inlineStr">
        <is>
          <t>Fixed</t>
        </is>
      </c>
      <c r="L142" s="7" t="inlineStr">
        <is>
          <t>Rs. 100</t>
        </is>
      </c>
      <c r="M142" s="7" t="inlineStr"/>
      <c r="N142" s="7" t="inlineStr"/>
      <c r="O142" s="7" t="inlineStr"/>
      <c r="P142" s="7" t="inlineStr"/>
      <c r="Q142" s="7" t="inlineStr">
        <is>
          <t>No</t>
        </is>
      </c>
    </row>
    <row r="143">
      <c r="A143" s="10" t="inlineStr">
        <is>
          <t>41(b)</t>
        </is>
      </c>
      <c r="B143" s="7" t="inlineStr">
        <is>
          <t>41</t>
        </is>
      </c>
      <c r="C143" s="7" t="inlineStr">
        <is>
          <t>DN-44</t>
        </is>
      </c>
      <c r="D143" s="7" t="inlineStr">
        <is>
          <t>Power of Attorney</t>
        </is>
      </c>
      <c r="E143" s="7" t="inlineStr">
        <is>
          <t>Authorisation (Power of Attorney / appointment)</t>
        </is>
      </c>
      <c r="F143" s="7" t="inlineStr">
        <is>
          <t>POA - single transaction (other than registration)</t>
        </is>
      </c>
      <c r="G143" s="7" t="inlineStr">
        <is>
          <t>POA-01 = PP-02, or PP-04 to family without consideration for a single sale</t>
        </is>
      </c>
      <c r="H143" s="7" t="inlineStr">
        <is>
          <t>POA-01, POA-03, GEN-07</t>
        </is>
      </c>
      <c r="I143" s="7" t="inlineStr"/>
      <c r="J143" s="7" t="inlineStr"/>
      <c r="K143" s="7" t="inlineStr">
        <is>
          <t>Fixed</t>
        </is>
      </c>
      <c r="L143" s="7" t="inlineStr">
        <is>
          <t>Rs. 100</t>
        </is>
      </c>
      <c r="M143" s="7" t="inlineStr"/>
      <c r="N143" s="7" t="inlineStr"/>
      <c r="O143" s="7" t="inlineStr"/>
      <c r="P143" s="7" t="inlineStr"/>
      <c r="Q143" s="7" t="inlineStr">
        <is>
          <t>No</t>
        </is>
      </c>
    </row>
    <row r="144">
      <c r="A144" s="10" t="inlineStr">
        <is>
          <t>41(c)</t>
        </is>
      </c>
      <c r="B144" s="7" t="inlineStr">
        <is>
          <t>41</t>
        </is>
      </c>
      <c r="C144" s="7" t="inlineStr">
        <is>
          <t>DN-44</t>
        </is>
      </c>
      <c r="D144" s="7" t="inlineStr">
        <is>
          <t>Power of Attorney</t>
        </is>
      </c>
      <c r="E144" s="7" t="inlineStr">
        <is>
          <t>Authorisation (Power of Attorney / appointment)</t>
        </is>
      </c>
      <c r="F144" s="7" t="inlineStr">
        <is>
          <t>General POA - up to 5 attorneys</t>
        </is>
      </c>
      <c r="G144" s="7" t="inlineStr">
        <is>
          <t>POA-01 = PP-03 AND POA-02 &lt;= 5</t>
        </is>
      </c>
      <c r="H144" s="7" t="inlineStr">
        <is>
          <t>POA-01, POA-02</t>
        </is>
      </c>
      <c r="I144" s="7" t="inlineStr"/>
      <c r="J144" s="7" t="inlineStr"/>
      <c r="K144" s="7" t="inlineStr">
        <is>
          <t>Fixed</t>
        </is>
      </c>
      <c r="L144" s="7" t="inlineStr">
        <is>
          <t>Rs. 100</t>
        </is>
      </c>
      <c r="M144" s="7" t="inlineStr"/>
      <c r="N144" s="7" t="inlineStr"/>
      <c r="O144" s="7" t="inlineStr"/>
      <c r="P144" s="7" t="inlineStr"/>
      <c r="Q144" s="7" t="inlineStr">
        <is>
          <t>No</t>
        </is>
      </c>
    </row>
    <row r="145">
      <c r="A145" s="10" t="inlineStr">
        <is>
          <t>41(d)</t>
        </is>
      </c>
      <c r="B145" s="7" t="inlineStr">
        <is>
          <t>41</t>
        </is>
      </c>
      <c r="C145" s="7" t="inlineStr">
        <is>
          <t>DN-44</t>
        </is>
      </c>
      <c r="D145" s="7" t="inlineStr">
        <is>
          <t>Power of Attorney</t>
        </is>
      </c>
      <c r="E145" s="7" t="inlineStr">
        <is>
          <t>Authorisation (Power of Attorney / appointment)</t>
        </is>
      </c>
      <c r="F145" s="7" t="inlineStr">
        <is>
          <t>General POA - 6 to 10 attorneys</t>
        </is>
      </c>
      <c r="G145" s="7" t="inlineStr">
        <is>
          <t>POA-01 = PP-03 AND 5 &lt; POA-02 &lt;= 10</t>
        </is>
      </c>
      <c r="H145" s="7" t="inlineStr">
        <is>
          <t>POA-01, POA-02</t>
        </is>
      </c>
      <c r="I145" s="7" t="inlineStr"/>
      <c r="J145" s="7" t="inlineStr"/>
      <c r="K145" s="7" t="inlineStr">
        <is>
          <t>Fixed</t>
        </is>
      </c>
      <c r="L145" s="7" t="inlineStr">
        <is>
          <t>Rs. 200</t>
        </is>
      </c>
      <c r="M145" s="7" t="inlineStr"/>
      <c r="N145" s="7" t="inlineStr"/>
      <c r="O145" s="7" t="inlineStr"/>
      <c r="P145" s="7" t="inlineStr"/>
      <c r="Q145" s="7" t="inlineStr">
        <is>
          <t>No</t>
        </is>
      </c>
    </row>
    <row r="146">
      <c r="A146" s="10" t="inlineStr">
        <is>
          <t>41(e)</t>
        </is>
      </c>
      <c r="B146" s="7" t="inlineStr">
        <is>
          <t>41</t>
        </is>
      </c>
      <c r="C146" s="7" t="inlineStr">
        <is>
          <t>DN-44</t>
        </is>
      </c>
      <c r="D146" s="7" t="inlineStr">
        <is>
          <t>Power of Attorney</t>
        </is>
      </c>
      <c r="E146" s="7" t="inlineStr">
        <is>
          <t>Authorisation (Power of Attorney / appointment)</t>
        </is>
      </c>
      <c r="F146" s="7" t="inlineStr">
        <is>
          <t>POA to sell immovable - for consideration / coupled with interest</t>
        </is>
      </c>
      <c r="G146" s="7" t="inlineStr">
        <is>
          <t>POA-01 = PP-04 AND POA-03 = Yes</t>
        </is>
      </c>
      <c r="H146" s="7" t="inlineStr">
        <is>
          <t>POA-01, POA-03</t>
        </is>
      </c>
      <c r="I146" s="7" t="inlineStr">
        <is>
          <t>GEN-08, GEN-09</t>
        </is>
      </c>
      <c r="J146" s="7" t="inlineStr">
        <is>
          <t>POA-04</t>
        </is>
      </c>
      <c r="K146" s="7" t="inlineStr">
        <is>
          <t>Same as other Article</t>
        </is>
      </c>
      <c r="L146" s="7" t="inlineStr">
        <is>
          <t>Same as Conveyance 20(1) on consideration or MV, whichever higher</t>
        </is>
      </c>
      <c r="M146" s="7" t="inlineStr"/>
      <c r="N146" s="7" t="inlineStr"/>
      <c r="O146" s="7" t="inlineStr">
        <is>
          <t>Duty paid on 5(e) agreement / sale between same parties &amp; property is adjustable (POA-04)</t>
        </is>
      </c>
      <c r="P146" s="7" t="inlineStr"/>
      <c r="Q146" s="11" t="inlineStr">
        <is>
          <t>Yes</t>
        </is>
      </c>
    </row>
    <row r="147">
      <c r="A147" s="10" t="inlineStr">
        <is>
          <t>41(ea)</t>
        </is>
      </c>
      <c r="B147" s="7" t="inlineStr">
        <is>
          <t>41</t>
        </is>
      </c>
      <c r="C147" s="7" t="inlineStr">
        <is>
          <t>DN-44</t>
        </is>
      </c>
      <c r="D147" s="7" t="inlineStr">
        <is>
          <t>Power of Attorney</t>
        </is>
      </c>
      <c r="E147" s="7" t="inlineStr">
        <is>
          <t>Authorisation (Power of Attorney / appointment)</t>
        </is>
      </c>
      <c r="F147" s="7" t="inlineStr">
        <is>
          <t>POA for construction / joint development (owner to developer)</t>
        </is>
      </c>
      <c r="G147" s="7" t="inlineStr">
        <is>
          <t>POA-01 = PP-05</t>
        </is>
      </c>
      <c r="H147" s="7" t="inlineStr">
        <is>
          <t>POA-01</t>
        </is>
      </c>
      <c r="I147" s="7" t="inlineStr">
        <is>
          <t>AGR-11, AGR-12, GEN-08, AGR-13</t>
        </is>
      </c>
      <c r="J147" s="7" t="inlineStr">
        <is>
          <t>POA-04</t>
        </is>
      </c>
      <c r="K147" s="7" t="inlineStr">
        <is>
          <t>Ad valorem</t>
        </is>
      </c>
      <c r="L147" s="7" t="inlineStr">
        <is>
          <t>2% on higher of: MV of undivided share of land + consideration + money advanced; or MV of constructed share + consideration + money advanced</t>
        </is>
      </c>
      <c r="M147" s="7" t="inlineStr"/>
      <c r="N147" s="7" t="inlineStr"/>
      <c r="O147" s="7" t="inlineStr">
        <is>
          <t>If 5(f) agreement already stamped: max Rs.200 (POA-04)</t>
        </is>
      </c>
      <c r="P147" s="7" t="inlineStr"/>
      <c r="Q147" s="11" t="inlineStr">
        <is>
          <t>Yes</t>
        </is>
      </c>
    </row>
    <row r="148">
      <c r="A148" s="10" t="inlineStr">
        <is>
          <t>41(eb)</t>
        </is>
      </c>
      <c r="B148" s="7" t="inlineStr">
        <is>
          <t>41</t>
        </is>
      </c>
      <c r="C148" s="7" t="inlineStr">
        <is>
          <t>DN-44</t>
        </is>
      </c>
      <c r="D148" s="7" t="inlineStr">
        <is>
          <t>Power of Attorney</t>
        </is>
      </c>
      <c r="E148" s="7" t="inlineStr">
        <is>
          <t>Authorisation (Power of Attorney / appointment)</t>
        </is>
      </c>
      <c r="F148" s="7" t="inlineStr">
        <is>
          <t>POA to sell immovable in Karnataka - attorney not a family member</t>
        </is>
      </c>
      <c r="G148" s="7" t="inlineStr">
        <is>
          <t>POA-01 = PP-04 AND POA-03 = No AND PRP-05 = Yes AND GEN-07 not in (father, mother, wife, husband, sons, daughters, brothers, sisters)</t>
        </is>
      </c>
      <c r="H148" s="7" t="inlineStr">
        <is>
          <t>POA-01, POA-03, PRP-05, GEN-07</t>
        </is>
      </c>
      <c r="I148" s="7" t="inlineStr">
        <is>
          <t>GEN-09</t>
        </is>
      </c>
      <c r="J148" s="7" t="inlineStr">
        <is>
          <t>POA-04</t>
        </is>
      </c>
      <c r="K148" s="7" t="inlineStr">
        <is>
          <t>Same as other Article</t>
        </is>
      </c>
      <c r="L148" s="7" t="inlineStr">
        <is>
          <t>Same as Conveyance 20(1) on MV of the property</t>
        </is>
      </c>
      <c r="M148" s="7" t="inlineStr"/>
      <c r="N148" s="7" t="inlineStr"/>
      <c r="O148" s="7" t="inlineStr">
        <is>
          <t>Duty paid on 5(e) agreement / sale is adjustable (POA-04)</t>
        </is>
      </c>
      <c r="P148" s="7" t="inlineStr"/>
      <c r="Q148" s="11" t="inlineStr">
        <is>
          <t>Yes</t>
        </is>
      </c>
    </row>
    <row r="149">
      <c r="A149" s="10" t="inlineStr">
        <is>
          <t>41(ec)</t>
        </is>
      </c>
      <c r="B149" s="7" t="inlineStr">
        <is>
          <t>41</t>
        </is>
      </c>
      <c r="C149" s="7" t="inlineStr">
        <is>
          <t>DN-44</t>
        </is>
      </c>
      <c r="D149" s="7" t="inlineStr">
        <is>
          <t>Power of Attorney</t>
        </is>
      </c>
      <c r="E149" s="7" t="inlineStr">
        <is>
          <t>Authorisation (Power of Attorney / appointment)</t>
        </is>
      </c>
      <c r="F149" s="7" t="inlineStr">
        <is>
          <t>POA to sell TDR - attorney not a family member</t>
        </is>
      </c>
      <c r="G149" s="7" t="inlineStr">
        <is>
          <t>POA-01 = PP-06 AND GEN-07 not in family list of 41(eb)</t>
        </is>
      </c>
      <c r="H149" s="7" t="inlineStr">
        <is>
          <t>POA-01, GEN-07</t>
        </is>
      </c>
      <c r="I149" s="7" t="inlineStr">
        <is>
          <t>GEN-09</t>
        </is>
      </c>
      <c r="J149" s="7" t="inlineStr"/>
      <c r="K149" s="7" t="inlineStr">
        <is>
          <t>Same as other Article</t>
        </is>
      </c>
      <c r="L149" s="7" t="inlineStr">
        <is>
          <t>Same as Conveyance 20(7) on MV of the property</t>
        </is>
      </c>
      <c r="M149" s="7" t="inlineStr"/>
      <c r="N149" s="7" t="inlineStr"/>
      <c r="O149" s="7" t="inlineStr"/>
      <c r="P149" s="7" t="inlineStr"/>
      <c r="Q149" s="7" t="inlineStr">
        <is>
          <t>No</t>
        </is>
      </c>
    </row>
    <row r="150">
      <c r="A150" s="10" t="inlineStr">
        <is>
          <t>41(f)</t>
        </is>
      </c>
      <c r="B150" s="7" t="inlineStr">
        <is>
          <t>41</t>
        </is>
      </c>
      <c r="C150" s="7" t="inlineStr">
        <is>
          <t>DN-44</t>
        </is>
      </c>
      <c r="D150" s="7" t="inlineStr">
        <is>
          <t>Power of Attorney</t>
        </is>
      </c>
      <c r="E150" s="7" t="inlineStr">
        <is>
          <t>Authorisation (Power of Attorney / appointment)</t>
        </is>
      </c>
      <c r="F150" s="7" t="inlineStr">
        <is>
          <t>POA - broker / agent for trading in marketable securities</t>
        </is>
      </c>
      <c r="G150" s="7" t="inlineStr">
        <is>
          <t>POA-01 = PP-07</t>
        </is>
      </c>
      <c r="H150" s="7" t="inlineStr">
        <is>
          <t>POA-01</t>
        </is>
      </c>
      <c r="I150" s="7" t="inlineStr"/>
      <c r="J150" s="7" t="inlineStr"/>
      <c r="K150" s="7" t="inlineStr">
        <is>
          <t>Fixed</t>
        </is>
      </c>
      <c r="L150" s="7" t="inlineStr">
        <is>
          <t>Rs. 50</t>
        </is>
      </c>
      <c r="M150" s="7" t="inlineStr"/>
      <c r="N150" s="7" t="inlineStr"/>
      <c r="O150" s="7" t="inlineStr"/>
      <c r="P150" s="7" t="inlineStr"/>
      <c r="Q150" s="7" t="inlineStr">
        <is>
          <t>No</t>
        </is>
      </c>
    </row>
    <row r="151">
      <c r="A151" s="10" t="inlineStr">
        <is>
          <t>41(g)</t>
        </is>
      </c>
      <c r="B151" s="7" t="inlineStr">
        <is>
          <t>41</t>
        </is>
      </c>
      <c r="C151" s="7" t="inlineStr">
        <is>
          <t>DN-44</t>
        </is>
      </c>
      <c r="D151" s="7" t="inlineStr">
        <is>
          <t>Power of Attorney</t>
        </is>
      </c>
      <c r="E151" s="7" t="inlineStr">
        <is>
          <t>Authorisation (Power of Attorney / appointment)</t>
        </is>
      </c>
      <c r="F151" s="7" t="inlineStr">
        <is>
          <t>POA - broker / agent for other trading operations</t>
        </is>
      </c>
      <c r="G151" s="7" t="inlineStr">
        <is>
          <t>POA-01 = PP-08</t>
        </is>
      </c>
      <c r="H151" s="7" t="inlineStr">
        <is>
          <t>POA-01</t>
        </is>
      </c>
      <c r="I151" s="7" t="inlineStr"/>
      <c r="J151" s="7" t="inlineStr"/>
      <c r="K151" s="7" t="inlineStr">
        <is>
          <t>Fixed</t>
        </is>
      </c>
      <c r="L151" s="7" t="inlineStr">
        <is>
          <t>Rs. 50</t>
        </is>
      </c>
      <c r="M151" s="7" t="inlineStr"/>
      <c r="N151" s="7" t="inlineStr"/>
      <c r="O151" s="7" t="inlineStr"/>
      <c r="P151" s="7" t="inlineStr"/>
      <c r="Q151" s="7" t="inlineStr">
        <is>
          <t>No</t>
        </is>
      </c>
    </row>
    <row r="152">
      <c r="A152" s="10" t="inlineStr">
        <is>
          <t>41(h)</t>
        </is>
      </c>
      <c r="B152" s="7" t="inlineStr">
        <is>
          <t>41</t>
        </is>
      </c>
      <c r="C152" s="7" t="inlineStr">
        <is>
          <t>DN-44</t>
        </is>
      </c>
      <c r="D152" s="7" t="inlineStr">
        <is>
          <t>Power of Attorney</t>
        </is>
      </c>
      <c r="E152" s="7" t="inlineStr">
        <is>
          <t>Authorisation (Power of Attorney / appointment)</t>
        </is>
      </c>
      <c r="F152" s="7" t="inlineStr">
        <is>
          <t>POA - any other case</t>
        </is>
      </c>
      <c r="G152" s="7" t="inlineStr">
        <is>
          <t>POA-01 = PP-09, or PP-03 with &gt; 10 attorneys, or PP-04 / PP-06 to family member (general power)</t>
        </is>
      </c>
      <c r="H152" s="7" t="inlineStr">
        <is>
          <t>POA-01, POA-02, GEN-07</t>
        </is>
      </c>
      <c r="I152" s="7" t="inlineStr"/>
      <c r="J152" s="7" t="inlineStr"/>
      <c r="K152" s="7" t="inlineStr">
        <is>
          <t>Fixed</t>
        </is>
      </c>
      <c r="L152" s="7" t="inlineStr">
        <is>
          <t>Rs. 200</t>
        </is>
      </c>
      <c r="M152" s="7" t="inlineStr"/>
      <c r="N152" s="7" t="inlineStr"/>
      <c r="O152" s="7" t="inlineStr"/>
      <c r="P152" s="7" t="inlineStr"/>
      <c r="Q152" s="7" t="inlineStr">
        <is>
          <t>No</t>
        </is>
      </c>
    </row>
    <row r="153">
      <c r="A153" s="10" t="inlineStr">
        <is>
          <t>42</t>
        </is>
      </c>
      <c r="B153" s="7" t="inlineStr">
        <is>
          <t>42</t>
        </is>
      </c>
      <c r="C153" s="7" t="inlineStr">
        <is>
          <t>DN-45</t>
        </is>
      </c>
      <c r="D153" s="7" t="inlineStr">
        <is>
          <t>Protest of Bill or Note</t>
        </is>
      </c>
      <c r="E153" s="7" t="inlineStr">
        <is>
          <t>Declarations, certificates, copies and notarial instruments</t>
        </is>
      </c>
      <c r="F153" s="7" t="inlineStr">
        <is>
          <t>Protest of bill or note</t>
        </is>
      </c>
      <c r="G153" s="7" t="inlineStr">
        <is>
          <t>Nature of document selected (no further condition)</t>
        </is>
      </c>
      <c r="H153" s="7" t="inlineStr"/>
      <c r="I153" s="7" t="inlineStr"/>
      <c r="J153" s="7" t="inlineStr"/>
      <c r="K153" s="7" t="inlineStr">
        <is>
          <t>Fixed</t>
        </is>
      </c>
      <c r="L153" s="7" t="inlineStr">
        <is>
          <t>Rs. 10</t>
        </is>
      </c>
      <c r="M153" s="7" t="inlineStr"/>
      <c r="N153" s="7" t="inlineStr"/>
      <c r="O153" s="7" t="inlineStr"/>
      <c r="P153" s="7" t="inlineStr"/>
      <c r="Q153" s="7" t="inlineStr">
        <is>
          <t>No</t>
        </is>
      </c>
    </row>
    <row r="154">
      <c r="A154" s="10" t="inlineStr">
        <is>
          <t>43</t>
        </is>
      </c>
      <c r="B154" s="7" t="inlineStr">
        <is>
          <t>43</t>
        </is>
      </c>
      <c r="C154" s="7" t="inlineStr">
        <is>
          <t>DN-46</t>
        </is>
      </c>
      <c r="D154" s="7" t="inlineStr">
        <is>
          <t>Protest by Master of Ship</t>
        </is>
      </c>
      <c r="E154" s="7" t="inlineStr">
        <is>
          <t>Shipping, goods and trade documents</t>
        </is>
      </c>
      <c r="F154" s="7" t="inlineStr">
        <is>
          <t>Protest by master of ship</t>
        </is>
      </c>
      <c r="G154" s="7" t="inlineStr">
        <is>
          <t>Nature of document selected (no further condition)</t>
        </is>
      </c>
      <c r="H154" s="7" t="inlineStr"/>
      <c r="I154" s="7" t="inlineStr"/>
      <c r="J154" s="7" t="inlineStr"/>
      <c r="K154" s="7" t="inlineStr">
        <is>
          <t>Fixed</t>
        </is>
      </c>
      <c r="L154" s="7" t="inlineStr">
        <is>
          <t>Rs. 50</t>
        </is>
      </c>
      <c r="M154" s="7" t="inlineStr"/>
      <c r="N154" s="7" t="inlineStr"/>
      <c r="O154" s="7" t="inlineStr"/>
      <c r="P154" s="7" t="inlineStr"/>
      <c r="Q154" s="7" t="inlineStr">
        <is>
          <t>No</t>
        </is>
      </c>
    </row>
    <row r="155">
      <c r="A155" s="10" t="inlineStr">
        <is>
          <t>44(a)</t>
        </is>
      </c>
      <c r="B155" s="7" t="inlineStr">
        <is>
          <t>44</t>
        </is>
      </c>
      <c r="C155" s="7" t="inlineStr">
        <is>
          <t>DN-47</t>
        </is>
      </c>
      <c r="D155" s="7" t="inlineStr">
        <is>
          <t>Reconveyance of Mortgaged Property</t>
        </is>
      </c>
      <c r="E155" s="7" t="inlineStr">
        <is>
          <t>Cancellation / release / surrender / revocation</t>
        </is>
      </c>
      <c r="F155" s="7" t="inlineStr">
        <is>
          <t>Reconveyance - mortgage consideration &lt;= Rs.1,000</t>
        </is>
      </c>
      <c r="G155" s="7" t="inlineStr">
        <is>
          <t>LON-14 &lt;= 1,000</t>
        </is>
      </c>
      <c r="H155" s="7" t="inlineStr">
        <is>
          <t>LON-14</t>
        </is>
      </c>
      <c r="I155" s="7" t="inlineStr">
        <is>
          <t>LON-14</t>
        </is>
      </c>
      <c r="J155" s="7" t="inlineStr"/>
      <c r="K155" s="7" t="inlineStr">
        <is>
          <t>Same as other Article</t>
        </is>
      </c>
      <c r="L155" s="7" t="inlineStr">
        <is>
          <t>Same as Conveyance (Art 20) on consideration set forth in reconveyance</t>
        </is>
      </c>
      <c r="M155" s="7" t="inlineStr"/>
      <c r="N155" s="7" t="inlineStr"/>
      <c r="O155" s="7" t="inlineStr"/>
      <c r="P155" s="7" t="inlineStr"/>
      <c r="Q155" s="7" t="inlineStr">
        <is>
          <t>No</t>
        </is>
      </c>
    </row>
    <row r="156">
      <c r="A156" s="10" t="inlineStr">
        <is>
          <t>44(b)</t>
        </is>
      </c>
      <c r="B156" s="7" t="inlineStr">
        <is>
          <t>44</t>
        </is>
      </c>
      <c r="C156" s="7" t="inlineStr">
        <is>
          <t>DN-47</t>
        </is>
      </c>
      <c r="D156" s="7" t="inlineStr">
        <is>
          <t>Reconveyance of Mortgaged Property</t>
        </is>
      </c>
      <c r="E156" s="7" t="inlineStr">
        <is>
          <t>Cancellation / release / surrender / revocation</t>
        </is>
      </c>
      <c r="F156" s="7" t="inlineStr">
        <is>
          <t>Reconveyance - other</t>
        </is>
      </c>
      <c r="G156" s="7" t="inlineStr">
        <is>
          <t>LON-14 &gt; 1,000</t>
        </is>
      </c>
      <c r="H156" s="7" t="inlineStr">
        <is>
          <t>LON-14</t>
        </is>
      </c>
      <c r="I156" s="7" t="inlineStr"/>
      <c r="J156" s="7" t="inlineStr"/>
      <c r="K156" s="7" t="inlineStr">
        <is>
          <t>Fixed</t>
        </is>
      </c>
      <c r="L156" s="7" t="inlineStr">
        <is>
          <t>Rs. 100</t>
        </is>
      </c>
      <c r="M156" s="7" t="inlineStr"/>
      <c r="N156" s="7" t="inlineStr"/>
      <c r="O156" s="7" t="inlineStr"/>
      <c r="P156" s="7" t="inlineStr"/>
      <c r="Q156" s="7" t="inlineStr">
        <is>
          <t>No</t>
        </is>
      </c>
    </row>
    <row r="157">
      <c r="A157" s="10" t="inlineStr">
        <is>
          <t>45(a)</t>
        </is>
      </c>
      <c r="B157" s="7" t="inlineStr">
        <is>
          <t>45</t>
        </is>
      </c>
      <c r="C157" s="7" t="inlineStr">
        <is>
          <t>DN-48</t>
        </is>
      </c>
      <c r="D157" s="7" t="inlineStr">
        <is>
          <t>Release Deed</t>
        </is>
      </c>
      <c r="E157" s="7" t="inlineStr">
        <is>
          <t>Cancellation / release / surrender / revocation</t>
        </is>
      </c>
      <c r="F157" s="7" t="inlineStr">
        <is>
          <t>Release - not between family members</t>
        </is>
      </c>
      <c r="G157" s="7" t="inlineStr">
        <is>
          <t>REL-01 = Right / claim AND GEN-07 not in Family_Definitions[45(b)]</t>
        </is>
      </c>
      <c r="H157" s="7" t="inlineStr">
        <is>
          <t>REL-01, GEN-07</t>
        </is>
      </c>
      <c r="I157" s="7" t="inlineStr">
        <is>
          <t>GEN-09, REL-02, GEN-08</t>
        </is>
      </c>
      <c r="J157" s="7" t="inlineStr"/>
      <c r="K157" s="7" t="inlineStr">
        <is>
          <t>Same as other Article</t>
        </is>
      </c>
      <c r="L157" s="7" t="inlineStr">
        <is>
          <t>Same as Conveyance 20(1) on higher of MV / value of claim renounced or consideration</t>
        </is>
      </c>
      <c r="M157" s="7" t="inlineStr"/>
      <c r="N157" s="7" t="inlineStr"/>
      <c r="O157" s="7" t="inlineStr"/>
      <c r="P157" s="7" t="inlineStr"/>
      <c r="Q157" s="11" t="inlineStr">
        <is>
          <t>Yes</t>
        </is>
      </c>
    </row>
    <row r="158">
      <c r="A158" s="10" t="inlineStr">
        <is>
          <t>45(b)</t>
        </is>
      </c>
      <c r="B158" s="7" t="inlineStr">
        <is>
          <t>45</t>
        </is>
      </c>
      <c r="C158" s="7" t="inlineStr">
        <is>
          <t>DN-48</t>
        </is>
      </c>
      <c r="D158" s="7" t="inlineStr">
        <is>
          <t>Release Deed</t>
        </is>
      </c>
      <c r="E158" s="7" t="inlineStr">
        <is>
          <t>Cancellation / release / surrender / revocation</t>
        </is>
      </c>
      <c r="F158" s="7" t="inlineStr">
        <is>
          <t>Release - between family members</t>
        </is>
      </c>
      <c r="G158" s="7" t="inlineStr">
        <is>
          <t>REL-01 = Right / claim AND GEN-07 in Family_Definitions[45(b)]</t>
        </is>
      </c>
      <c r="H158" s="7" t="inlineStr">
        <is>
          <t>REL-01, GEN-07</t>
        </is>
      </c>
      <c r="I158" s="7" t="inlineStr">
        <is>
          <t>PRP-03</t>
        </is>
      </c>
      <c r="J158" s="7" t="inlineStr"/>
      <c r="K158" s="7" t="inlineStr">
        <is>
          <t>Slab</t>
        </is>
      </c>
      <c r="L158" s="7" t="inlineStr">
        <is>
          <t>LL-1: Rs. 5,000; LL-2: Rs. 3,000; LL-3: Rs. 1,000 (if multiple limits, the maximum)</t>
        </is>
      </c>
      <c r="M158" s="7" t="inlineStr"/>
      <c r="N158" s="7" t="inlineStr"/>
      <c r="O158" s="7" t="inlineStr"/>
      <c r="P158" s="7" t="inlineStr"/>
      <c r="Q158" s="7" t="inlineStr">
        <is>
          <t>No</t>
        </is>
      </c>
    </row>
    <row r="159">
      <c r="A159" s="10" t="inlineStr">
        <is>
          <t>45(c)</t>
        </is>
      </c>
      <c r="B159" s="7" t="inlineStr">
        <is>
          <t>45</t>
        </is>
      </c>
      <c r="C159" s="7" t="inlineStr">
        <is>
          <t>DN-48</t>
        </is>
      </c>
      <c r="D159" s="7" t="inlineStr">
        <is>
          <t>Release Deed</t>
        </is>
      </c>
      <c r="E159" s="7" t="inlineStr">
        <is>
          <t>Cancellation / release / surrender / revocation</t>
        </is>
      </c>
      <c r="F159" s="7" t="inlineStr">
        <is>
          <t>Release of mortgage rights or lien</t>
        </is>
      </c>
      <c r="G159" s="7" t="inlineStr">
        <is>
          <t>REL-01 = Mortgage rights / lien</t>
        </is>
      </c>
      <c r="H159" s="7" t="inlineStr">
        <is>
          <t>REL-01</t>
        </is>
      </c>
      <c r="I159" s="7" t="inlineStr">
        <is>
          <t>LON-01</t>
        </is>
      </c>
      <c r="J159" s="7" t="inlineStr"/>
      <c r="K159" s="7" t="inlineStr">
        <is>
          <t>Same as other Article</t>
        </is>
      </c>
      <c r="L159" s="7" t="inlineStr">
        <is>
          <t>Same as Bond (Art 12)</t>
        </is>
      </c>
      <c r="M159" s="7" t="inlineStr"/>
      <c r="N159" s="7" t="inlineStr">
        <is>
          <t>Rs. 100</t>
        </is>
      </c>
      <c r="O159" s="7" t="inlineStr"/>
      <c r="P159" s="7" t="inlineStr"/>
      <c r="Q159" s="7" t="inlineStr">
        <is>
          <t>No</t>
        </is>
      </c>
    </row>
    <row r="160">
      <c r="A160" s="10" t="inlineStr">
        <is>
          <t>46</t>
        </is>
      </c>
      <c r="B160" s="7" t="inlineStr">
        <is>
          <t>46</t>
        </is>
      </c>
      <c r="C160" s="7" t="inlineStr">
        <is>
          <t>DN-49</t>
        </is>
      </c>
      <c r="D160" s="7" t="inlineStr">
        <is>
          <t>Respondentia Bond</t>
        </is>
      </c>
      <c r="E160" s="7" t="inlineStr">
        <is>
          <t>Shipping, goods and trade documents</t>
        </is>
      </c>
      <c r="F160" s="7" t="inlineStr">
        <is>
          <t>Respondentia bond</t>
        </is>
      </c>
      <c r="G160" s="7" t="inlineStr">
        <is>
          <t>Nature of document selected (no further condition)</t>
        </is>
      </c>
      <c r="H160" s="7" t="inlineStr"/>
      <c r="I160" s="7" t="inlineStr">
        <is>
          <t>MSC-01</t>
        </is>
      </c>
      <c r="J160" s="7" t="inlineStr"/>
      <c r="K160" s="7" t="inlineStr">
        <is>
          <t>Same as other Article</t>
        </is>
      </c>
      <c r="L160" s="7" t="inlineStr">
        <is>
          <t>Same as Bond (Art 12) for amount of loan</t>
        </is>
      </c>
      <c r="M160" s="7" t="inlineStr"/>
      <c r="N160" s="7" t="inlineStr"/>
      <c r="O160" s="7" t="inlineStr"/>
      <c r="P160" s="7" t="inlineStr"/>
      <c r="Q160" s="7" t="inlineStr">
        <is>
          <t>No</t>
        </is>
      </c>
    </row>
    <row r="161">
      <c r="A161" s="10" t="inlineStr">
        <is>
          <t>47(a)</t>
        </is>
      </c>
      <c r="B161" s="7" t="inlineStr">
        <is>
          <t>47</t>
        </is>
      </c>
      <c r="C161" s="7" t="inlineStr">
        <is>
          <t>DN-50</t>
        </is>
      </c>
      <c r="D161" s="7" t="inlineStr">
        <is>
          <t>Security Bond / Surety Bond</t>
        </is>
      </c>
      <c r="E161" s="7" t="inlineStr">
        <is>
          <t>Bonds and guarantees</t>
        </is>
      </c>
      <c r="F161" s="7" t="inlineStr">
        <is>
          <t>Security bond - amount &lt;= Rs.1,000</t>
        </is>
      </c>
      <c r="G161" s="7" t="inlineStr">
        <is>
          <t>MSC-01 &lt;= 1,000</t>
        </is>
      </c>
      <c r="H161" s="7" t="inlineStr">
        <is>
          <t>MSC-01, MSC-13</t>
        </is>
      </c>
      <c r="I161" s="7" t="inlineStr">
        <is>
          <t>MSC-01</t>
        </is>
      </c>
      <c r="J161" s="7" t="inlineStr">
        <is>
          <t>MSC-13</t>
        </is>
      </c>
      <c r="K161" s="7" t="inlineStr">
        <is>
          <t>Ad valorem</t>
        </is>
      </c>
      <c r="L161" s="7" t="inlineStr">
        <is>
          <t>50 paise for every Rs. 100 or part</t>
        </is>
      </c>
      <c r="M161" s="7" t="inlineStr"/>
      <c r="N161" s="7" t="inlineStr"/>
      <c r="O161" s="7" t="inlineStr"/>
      <c r="P161" s="7" t="inlineStr">
        <is>
          <t>Charitable guarantee; irrigation rules; KLIL / KAL Act advances; Govt officers &amp; sureties</t>
        </is>
      </c>
      <c r="Q161" s="7" t="inlineStr">
        <is>
          <t>No</t>
        </is>
      </c>
    </row>
    <row r="162">
      <c r="A162" s="10" t="inlineStr">
        <is>
          <t>47(b)</t>
        </is>
      </c>
      <c r="B162" s="7" t="inlineStr">
        <is>
          <t>47</t>
        </is>
      </c>
      <c r="C162" s="7" t="inlineStr">
        <is>
          <t>DN-50</t>
        </is>
      </c>
      <c r="D162" s="7" t="inlineStr">
        <is>
          <t>Security Bond / Surety Bond</t>
        </is>
      </c>
      <c r="E162" s="7" t="inlineStr">
        <is>
          <t>Bonds and guarantees</t>
        </is>
      </c>
      <c r="F162" s="7" t="inlineStr">
        <is>
          <t>Security bond - other</t>
        </is>
      </c>
      <c r="G162" s="7" t="inlineStr">
        <is>
          <t>MSC-01 &gt; 1,000</t>
        </is>
      </c>
      <c r="H162" s="7" t="inlineStr">
        <is>
          <t>MSC-01, MSC-13</t>
        </is>
      </c>
      <c r="I162" s="7" t="inlineStr"/>
      <c r="J162" s="7" t="inlineStr">
        <is>
          <t>MSC-13</t>
        </is>
      </c>
      <c r="K162" s="7" t="inlineStr">
        <is>
          <t>Fixed</t>
        </is>
      </c>
      <c r="L162" s="7" t="inlineStr">
        <is>
          <t>Rs. 200</t>
        </is>
      </c>
      <c r="M162" s="7" t="inlineStr"/>
      <c r="N162" s="7" t="inlineStr"/>
      <c r="O162" s="7" t="inlineStr"/>
      <c r="P162" s="7" t="inlineStr">
        <is>
          <t>As above</t>
        </is>
      </c>
      <c r="Q162" s="7" t="inlineStr">
        <is>
          <t>No</t>
        </is>
      </c>
    </row>
    <row r="163">
      <c r="A163" s="10" t="inlineStr">
        <is>
          <t>48-A(i)</t>
        </is>
      </c>
      <c r="B163" s="7" t="inlineStr">
        <is>
          <t>48</t>
        </is>
      </c>
      <c r="C163" s="7" t="inlineStr">
        <is>
          <t>DN-51</t>
        </is>
      </c>
      <c r="D163" s="7" t="inlineStr">
        <is>
          <t>Settlement Deed / Revocation of Settlement</t>
        </is>
      </c>
      <c r="E163" s="7" t="inlineStr">
        <is>
          <t>Division / distribution of property (partition, settlement, trust)</t>
        </is>
      </c>
      <c r="F163" s="7" t="inlineStr">
        <is>
          <t>Settlement - not for distribution among family</t>
        </is>
      </c>
      <c r="G163" s="7" t="inlineStr">
        <is>
          <t>STL-01 = Settlement AND (STL-02 = No OR GEN-07 not in Family_Definitions[48-A(ii)])</t>
        </is>
      </c>
      <c r="H163" s="7" t="inlineStr">
        <is>
          <t>STL-01, STL-02, GEN-07</t>
        </is>
      </c>
      <c r="I163" s="7" t="inlineStr">
        <is>
          <t>GEN-09</t>
        </is>
      </c>
      <c r="J163" s="7" t="inlineStr">
        <is>
          <t>STL-03, STL-04, GEN-11</t>
        </is>
      </c>
      <c r="K163" s="7" t="inlineStr">
        <is>
          <t>Same as other Article</t>
        </is>
      </c>
      <c r="L163" s="7" t="inlineStr">
        <is>
          <t>Same as Conveyance (Art 20) on MV of property</t>
        </is>
      </c>
      <c r="M163" s="7" t="inlineStr"/>
      <c r="N163" s="7" t="inlineStr"/>
      <c r="O163" s="7" t="inlineStr">
        <is>
          <t>Agreement to settle already stamped: max Rs.50 (STL-03)</t>
        </is>
      </c>
      <c r="P163" s="7" t="inlineStr">
        <is>
          <t>Deed of dower on Muhammadan marriage (STL-04)</t>
        </is>
      </c>
      <c r="Q163" s="11" t="inlineStr">
        <is>
          <t>Yes</t>
        </is>
      </c>
    </row>
    <row r="164">
      <c r="A164" s="10" t="inlineStr">
        <is>
          <t>48-A(ii)</t>
        </is>
      </c>
      <c r="B164" s="7" t="inlineStr">
        <is>
          <t>48</t>
        </is>
      </c>
      <c r="C164" s="7" t="inlineStr">
        <is>
          <t>DN-51</t>
        </is>
      </c>
      <c r="D164" s="7" t="inlineStr">
        <is>
          <t>Settlement Deed / Revocation of Settlement</t>
        </is>
      </c>
      <c r="E164" s="7" t="inlineStr">
        <is>
          <t>Division / distribution of property (partition, settlement, trust)</t>
        </is>
      </c>
      <c r="F164" s="7" t="inlineStr">
        <is>
          <t>Settlement - distribution among family</t>
        </is>
      </c>
      <c r="G164" s="7" t="inlineStr">
        <is>
          <t>STL-01 = Settlement AND STL-02 = Yes AND GEN-07 in Family_Definitions[48-A(ii)]</t>
        </is>
      </c>
      <c r="H164" s="7" t="inlineStr">
        <is>
          <t>STL-01, STL-02, GEN-07</t>
        </is>
      </c>
      <c r="I164" s="7" t="inlineStr">
        <is>
          <t>PRP-03</t>
        </is>
      </c>
      <c r="J164" s="7" t="inlineStr">
        <is>
          <t>STL-04</t>
        </is>
      </c>
      <c r="K164" s="7" t="inlineStr">
        <is>
          <t>Slab</t>
        </is>
      </c>
      <c r="L164" s="7" t="inlineStr">
        <is>
          <t>LL-1: Rs. 5,000; LL-2: Rs. 3,000; LL-3: Rs. 1,000 (if multiple limits, the maximum)</t>
        </is>
      </c>
      <c r="M164" s="7" t="inlineStr"/>
      <c r="N164" s="7" t="inlineStr"/>
      <c r="O164" s="7" t="inlineStr"/>
      <c r="P164" s="7" t="inlineStr">
        <is>
          <t>Deed of dower on Muhammadan marriage</t>
        </is>
      </c>
      <c r="Q164" s="7" t="inlineStr">
        <is>
          <t>No</t>
        </is>
      </c>
    </row>
    <row r="165">
      <c r="A165" s="10" t="inlineStr">
        <is>
          <t>48-B</t>
        </is>
      </c>
      <c r="B165" s="7" t="inlineStr">
        <is>
          <t>48</t>
        </is>
      </c>
      <c r="C165" s="7" t="inlineStr">
        <is>
          <t>DN-51</t>
        </is>
      </c>
      <c r="D165" s="7" t="inlineStr">
        <is>
          <t>Settlement Deed / Revocation of Settlement</t>
        </is>
      </c>
      <c r="E165" s="7" t="inlineStr">
        <is>
          <t>Division / distribution of property (partition, settlement, trust)</t>
        </is>
      </c>
      <c r="F165" s="7" t="inlineStr">
        <is>
          <t>Revocation of settlement</t>
        </is>
      </c>
      <c r="G165" s="7" t="inlineStr">
        <is>
          <t>STL-01 = Revocation</t>
        </is>
      </c>
      <c r="H165" s="7" t="inlineStr">
        <is>
          <t>STL-01</t>
        </is>
      </c>
      <c r="I165" s="7" t="inlineStr">
        <is>
          <t>GEN-09</t>
        </is>
      </c>
      <c r="J165" s="7" t="inlineStr"/>
      <c r="K165" s="7" t="inlineStr">
        <is>
          <t>Same as other Article</t>
        </is>
      </c>
      <c r="L165" s="7" t="inlineStr">
        <is>
          <t>Same as Conveyance (Art 20) on value of property concerned</t>
        </is>
      </c>
      <c r="M165" s="7" t="inlineStr"/>
      <c r="N165" s="7" t="inlineStr">
        <is>
          <t>Rs. 200</t>
        </is>
      </c>
      <c r="O165" s="7" t="inlineStr"/>
      <c r="P165" s="7" t="inlineStr"/>
      <c r="Q165" s="7" t="inlineStr">
        <is>
          <t>No</t>
        </is>
      </c>
    </row>
    <row r="166">
      <c r="A166" s="10" t="inlineStr">
        <is>
          <t>49</t>
        </is>
      </c>
      <c r="B166" s="7" t="inlineStr">
        <is>
          <t>49</t>
        </is>
      </c>
      <c r="C166" s="7" t="inlineStr">
        <is>
          <t>DN-52</t>
        </is>
      </c>
      <c r="D166" s="7" t="inlineStr">
        <is>
          <t>Share Warrant to Bearer</t>
        </is>
      </c>
      <c r="E166" s="7" t="inlineStr">
        <is>
          <t>Business entity / company / securities</t>
        </is>
      </c>
      <c r="F166" s="7" t="inlineStr">
        <is>
          <t>Share warrant to bearer</t>
        </is>
      </c>
      <c r="G166" s="7" t="inlineStr">
        <is>
          <t>Nature of document selected (no further condition)</t>
        </is>
      </c>
      <c r="H166" s="7" t="inlineStr"/>
      <c r="I166" s="7" t="inlineStr">
        <is>
          <t>CMP-11</t>
        </is>
      </c>
      <c r="J166" s="7" t="inlineStr"/>
      <c r="K166" s="7" t="inlineStr">
        <is>
          <t>Same as other Article</t>
        </is>
      </c>
      <c r="L166" s="7" t="inlineStr">
        <is>
          <t>1.5 x Conveyance duty on MV equal to nominal amount of shares</t>
        </is>
      </c>
      <c r="M166" s="7" t="inlineStr"/>
      <c r="N166" s="7" t="inlineStr"/>
      <c r="O166" s="7" t="inlineStr"/>
      <c r="P166" s="7" t="inlineStr">
        <is>
          <t>Composition paid u/s 114 Companies Act</t>
        </is>
      </c>
      <c r="Q166" s="7" t="inlineStr">
        <is>
          <t>No</t>
        </is>
      </c>
    </row>
    <row r="167">
      <c r="A167" s="10" t="inlineStr">
        <is>
          <t>50</t>
        </is>
      </c>
      <c r="B167" s="7" t="inlineStr">
        <is>
          <t>50</t>
        </is>
      </c>
      <c r="C167" s="7" t="inlineStr">
        <is>
          <t>DN-53</t>
        </is>
      </c>
      <c r="D167" s="7" t="inlineStr">
        <is>
          <t>Shipping Order</t>
        </is>
      </c>
      <c r="E167" s="7" t="inlineStr">
        <is>
          <t>Shipping, goods and trade documents</t>
        </is>
      </c>
      <c r="F167" s="7" t="inlineStr">
        <is>
          <t>Shipping order</t>
        </is>
      </c>
      <c r="G167" s="7" t="inlineStr">
        <is>
          <t>Nature of document selected (no further condition)</t>
        </is>
      </c>
      <c r="H167" s="7" t="inlineStr"/>
      <c r="I167" s="7" t="inlineStr"/>
      <c r="J167" s="7" t="inlineStr"/>
      <c r="K167" s="7" t="inlineStr">
        <is>
          <t>Fixed</t>
        </is>
      </c>
      <c r="L167" s="7" t="inlineStr">
        <is>
          <t>Rs. 2</t>
        </is>
      </c>
      <c r="M167" s="7" t="inlineStr"/>
      <c r="N167" s="7" t="inlineStr"/>
      <c r="O167" s="7" t="inlineStr"/>
      <c r="P167" s="7" t="inlineStr"/>
      <c r="Q167" s="7" t="inlineStr">
        <is>
          <t>No</t>
        </is>
      </c>
    </row>
    <row r="168">
      <c r="A168" s="10" t="inlineStr">
        <is>
          <t>51(a)</t>
        </is>
      </c>
      <c r="B168" s="7" t="inlineStr">
        <is>
          <t>51</t>
        </is>
      </c>
      <c r="C168" s="7" t="inlineStr">
        <is>
          <t>DN-54</t>
        </is>
      </c>
      <c r="D168" s="7" t="inlineStr">
        <is>
          <t>Surrender of Lease</t>
        </is>
      </c>
      <c r="E168" s="7" t="inlineStr">
        <is>
          <t>Cancellation / release / surrender / revocation</t>
        </is>
      </c>
      <c r="F168" s="7" t="inlineStr">
        <is>
          <t>Surrender of lease - lease duty &lt;= Rs.22.50</t>
        </is>
      </c>
      <c r="G168" s="7" t="inlineStr">
        <is>
          <t>LSE-13 &lt;= 22.50</t>
        </is>
      </c>
      <c r="H168" s="7" t="inlineStr">
        <is>
          <t>LSE-13</t>
        </is>
      </c>
      <c r="I168" s="7" t="inlineStr">
        <is>
          <t>LSE-13</t>
        </is>
      </c>
      <c r="J168" s="7" t="inlineStr"/>
      <c r="K168" s="7" t="inlineStr">
        <is>
          <t>Same as other Article</t>
        </is>
      </c>
      <c r="L168" s="7" t="inlineStr">
        <is>
          <t>Duty with which the lease is chargeable</t>
        </is>
      </c>
      <c r="M168" s="7" t="inlineStr"/>
      <c r="N168" s="7" t="inlineStr"/>
      <c r="O168" s="7" t="inlineStr"/>
      <c r="P168" s="7" t="inlineStr">
        <is>
          <t>Lease exempt from duty</t>
        </is>
      </c>
      <c r="Q168" s="7" t="inlineStr">
        <is>
          <t>No</t>
        </is>
      </c>
    </row>
    <row r="169">
      <c r="A169" s="10" t="inlineStr">
        <is>
          <t>51(b)</t>
        </is>
      </c>
      <c r="B169" s="7" t="inlineStr">
        <is>
          <t>51</t>
        </is>
      </c>
      <c r="C169" s="7" t="inlineStr">
        <is>
          <t>DN-54</t>
        </is>
      </c>
      <c r="D169" s="7" t="inlineStr">
        <is>
          <t>Surrender of Lease</t>
        </is>
      </c>
      <c r="E169" s="7" t="inlineStr">
        <is>
          <t>Cancellation / release / surrender / revocation</t>
        </is>
      </c>
      <c r="F169" s="7" t="inlineStr">
        <is>
          <t>Surrender of lease - other</t>
        </is>
      </c>
      <c r="G169" s="7" t="inlineStr">
        <is>
          <t>LSE-13 &gt; 22.50</t>
        </is>
      </c>
      <c r="H169" s="7" t="inlineStr">
        <is>
          <t>LSE-13</t>
        </is>
      </c>
      <c r="I169" s="7" t="inlineStr"/>
      <c r="J169" s="7" t="inlineStr"/>
      <c r="K169" s="7" t="inlineStr">
        <is>
          <t>Fixed</t>
        </is>
      </c>
      <c r="L169" s="7" t="inlineStr">
        <is>
          <t>Rs. 100</t>
        </is>
      </c>
      <c r="M169" s="7" t="inlineStr"/>
      <c r="N169" s="7" t="inlineStr"/>
      <c r="O169" s="7" t="inlineStr"/>
      <c r="P169" s="7" t="inlineStr">
        <is>
          <t>Lease exempt from duty</t>
        </is>
      </c>
      <c r="Q169" s="7" t="inlineStr">
        <is>
          <t>No</t>
        </is>
      </c>
    </row>
    <row r="170">
      <c r="A170" s="10" t="inlineStr">
        <is>
          <t>52(a)</t>
        </is>
      </c>
      <c r="B170" s="7" t="inlineStr">
        <is>
          <t>52</t>
        </is>
      </c>
      <c r="C170" s="7" t="inlineStr">
        <is>
          <t>DN-55</t>
        </is>
      </c>
      <c r="D170" s="7" t="inlineStr">
        <is>
          <t>Transfer (Debentures, Mortgage / Bond interest, Trust property)</t>
        </is>
      </c>
      <c r="E170" s="7" t="inlineStr">
        <is>
          <t>Transfer of ownership / rights in property</t>
        </is>
      </c>
      <c r="F170" s="7" t="inlineStr">
        <is>
          <t>Transfer of debentures</t>
        </is>
      </c>
      <c r="G170" s="7" t="inlineStr">
        <is>
          <t>MSC-11 = Debentures</t>
        </is>
      </c>
      <c r="H170" s="7" t="inlineStr">
        <is>
          <t>MSC-11</t>
        </is>
      </c>
      <c r="I170" s="7" t="inlineStr">
        <is>
          <t>CMP-12</t>
        </is>
      </c>
      <c r="J170" s="7" t="inlineStr"/>
      <c r="K170" s="7" t="inlineStr">
        <is>
          <t>Ad valorem</t>
        </is>
      </c>
      <c r="L170" s="7" t="inlineStr">
        <is>
          <t>50 paise per Rs. 100 or part on face value</t>
        </is>
      </c>
      <c r="M170" s="7" t="inlineStr"/>
      <c r="N170" s="7" t="inlineStr">
        <is>
          <t>Rs. 1,000</t>
        </is>
      </c>
      <c r="O170" s="7" t="inlineStr"/>
      <c r="P170" s="7" t="inlineStr"/>
      <c r="Q170" s="7" t="inlineStr">
        <is>
          <t>No</t>
        </is>
      </c>
    </row>
    <row r="171">
      <c r="A171" s="10" t="inlineStr">
        <is>
          <t>52(b)(i)</t>
        </is>
      </c>
      <c r="B171" s="7" t="inlineStr">
        <is>
          <t>52</t>
        </is>
      </c>
      <c r="C171" s="7" t="inlineStr">
        <is>
          <t>DN-55</t>
        </is>
      </c>
      <c r="D171" s="7" t="inlineStr">
        <is>
          <t>Transfer (Debentures, Mortgage / Bond interest, Trust property)</t>
        </is>
      </c>
      <c r="E171" s="7" t="inlineStr">
        <is>
          <t>Transfer of ownership / rights in property</t>
        </is>
      </c>
      <c r="F171" s="7" t="inlineStr">
        <is>
          <t>Transfer of interest secured by bond / mortgage / policy - underlying duty &lt;= Rs.22.50</t>
        </is>
      </c>
      <c r="G171" s="7" t="inlineStr">
        <is>
          <t>MSC-11 = Interest secured AND MSC-12 &lt;= 22.50</t>
        </is>
      </c>
      <c r="H171" s="7" t="inlineStr">
        <is>
          <t>MSC-11, MSC-12</t>
        </is>
      </c>
      <c r="I171" s="7" t="inlineStr">
        <is>
          <t>MSC-12</t>
        </is>
      </c>
      <c r="J171" s="7" t="inlineStr"/>
      <c r="K171" s="7" t="inlineStr">
        <is>
          <t>Same as other Article</t>
        </is>
      </c>
      <c r="L171" s="7" t="inlineStr">
        <is>
          <t>Duty with which such bond / mortgage / policy is chargeable</t>
        </is>
      </c>
      <c r="M171" s="7" t="inlineStr"/>
      <c r="N171" s="7" t="inlineStr"/>
      <c r="O171" s="7" t="inlineStr"/>
      <c r="P171" s="7" t="inlineStr"/>
      <c r="Q171" s="7" t="inlineStr">
        <is>
          <t>No</t>
        </is>
      </c>
    </row>
    <row r="172">
      <c r="A172" s="10" t="inlineStr">
        <is>
          <t>52(b)(ii)</t>
        </is>
      </c>
      <c r="B172" s="7" t="inlineStr">
        <is>
          <t>52</t>
        </is>
      </c>
      <c r="C172" s="7" t="inlineStr">
        <is>
          <t>DN-55</t>
        </is>
      </c>
      <c r="D172" s="7" t="inlineStr">
        <is>
          <t>Transfer (Debentures, Mortgage / Bond interest, Trust property)</t>
        </is>
      </c>
      <c r="E172" s="7" t="inlineStr">
        <is>
          <t>Transfer of ownership / rights in property</t>
        </is>
      </c>
      <c r="F172" s="7" t="inlineStr">
        <is>
          <t>Transfer of interest secured by bond / mortgage / policy - other</t>
        </is>
      </c>
      <c r="G172" s="7" t="inlineStr">
        <is>
          <t>MSC-11 = Interest secured AND MSC-12 &gt; 22.50</t>
        </is>
      </c>
      <c r="H172" s="7" t="inlineStr">
        <is>
          <t>MSC-11, MSC-12</t>
        </is>
      </c>
      <c r="I172" s="7" t="inlineStr"/>
      <c r="J172" s="7" t="inlineStr"/>
      <c r="K172" s="7" t="inlineStr">
        <is>
          <t>Fixed</t>
        </is>
      </c>
      <c r="L172" s="7" t="inlineStr">
        <is>
          <t>Rs. 100</t>
        </is>
      </c>
      <c r="M172" s="7" t="inlineStr"/>
      <c r="N172" s="7" t="inlineStr"/>
      <c r="O172" s="7" t="inlineStr"/>
      <c r="P172" s="7" t="inlineStr"/>
      <c r="Q172" s="7" t="inlineStr">
        <is>
          <t>No</t>
        </is>
      </c>
    </row>
    <row r="173">
      <c r="A173" s="10" t="inlineStr">
        <is>
          <t>52(c)</t>
        </is>
      </c>
      <c r="B173" s="7" t="inlineStr">
        <is>
          <t>52</t>
        </is>
      </c>
      <c r="C173" s="7" t="inlineStr">
        <is>
          <t>DN-55</t>
        </is>
      </c>
      <c r="D173" s="7" t="inlineStr">
        <is>
          <t>Transfer (Debentures, Mortgage / Bond interest, Trust property)</t>
        </is>
      </c>
      <c r="E173" s="7" t="inlineStr">
        <is>
          <t>Transfer of ownership / rights in property</t>
        </is>
      </c>
      <c r="F173" s="7" t="inlineStr">
        <is>
          <t>Transfer under Sec 25 Administrator-General's Act</t>
        </is>
      </c>
      <c r="G173" s="7" t="inlineStr">
        <is>
          <t>MSC-11 = Administrator General</t>
        </is>
      </c>
      <c r="H173" s="7" t="inlineStr">
        <is>
          <t>MSC-11</t>
        </is>
      </c>
      <c r="I173" s="7" t="inlineStr"/>
      <c r="J173" s="7" t="inlineStr"/>
      <c r="K173" s="7" t="inlineStr">
        <is>
          <t>Fixed</t>
        </is>
      </c>
      <c r="L173" s="7" t="inlineStr">
        <is>
          <t>Rs. 100</t>
        </is>
      </c>
      <c r="M173" s="7" t="inlineStr"/>
      <c r="N173" s="7" t="inlineStr"/>
      <c r="O173" s="7" t="inlineStr"/>
      <c r="P173" s="7" t="inlineStr"/>
      <c r="Q173" s="7" t="inlineStr">
        <is>
          <t>No</t>
        </is>
      </c>
    </row>
    <row r="174">
      <c r="A174" s="10" t="inlineStr">
        <is>
          <t>52(d)</t>
        </is>
      </c>
      <c r="B174" s="7" t="inlineStr">
        <is>
          <t>52</t>
        </is>
      </c>
      <c r="C174" s="7" t="inlineStr">
        <is>
          <t>DN-55</t>
        </is>
      </c>
      <c r="D174" s="7" t="inlineStr">
        <is>
          <t>Transfer (Debentures, Mortgage / Bond interest, Trust property)</t>
        </is>
      </c>
      <c r="E174" s="7" t="inlineStr">
        <is>
          <t>Transfer of ownership / rights in property</t>
        </is>
      </c>
      <c r="F174" s="7" t="inlineStr">
        <is>
          <t>Transfer of trust property</t>
        </is>
      </c>
      <c r="G174" s="7" t="inlineStr">
        <is>
          <t>MSC-11 = Trust property</t>
        </is>
      </c>
      <c r="H174" s="7" t="inlineStr">
        <is>
          <t>MSC-11, TRS-02</t>
        </is>
      </c>
      <c r="I174" s="7" t="inlineStr">
        <is>
          <t>GEN-09, GEN-08</t>
        </is>
      </c>
      <c r="J174" s="7" t="inlineStr"/>
      <c r="K174" s="7" t="inlineStr">
        <is>
          <t>Same as other Article</t>
        </is>
      </c>
      <c r="L174" s="7" t="inlineStr">
        <is>
          <t>Same as Conveyance 20(1) on higher of MV or consideration; public religious &amp; charitable trust: Rs. 1,000</t>
        </is>
      </c>
      <c r="M174" s="7" t="inlineStr"/>
      <c r="N174" s="7" t="inlineStr"/>
      <c r="O174" s="7" t="inlineStr"/>
      <c r="P174" s="7" t="inlineStr"/>
      <c r="Q174" s="7" t="inlineStr">
        <is>
          <t>No</t>
        </is>
      </c>
    </row>
    <row r="175">
      <c r="A175" s="10" t="inlineStr">
        <is>
          <t>53(a)</t>
        </is>
      </c>
      <c r="B175" s="7" t="inlineStr">
        <is>
          <t>53</t>
        </is>
      </c>
      <c r="C175" s="7" t="inlineStr">
        <is>
          <t>DN-56</t>
        </is>
      </c>
      <c r="D175" s="7" t="inlineStr">
        <is>
          <t>Transfer / Assignment of Lease</t>
        </is>
      </c>
      <c r="E175" s="7" t="inlineStr">
        <is>
          <t>Transfer of ownership / rights in property</t>
        </is>
      </c>
      <c r="F175" s="7" t="inlineStr">
        <is>
          <t>Transfer of lease - remaining period &lt;= 30 years</t>
        </is>
      </c>
      <c r="G175" s="7" t="inlineStr">
        <is>
          <t>LSE-12 &lt;= 30</t>
        </is>
      </c>
      <c r="H175" s="7" t="inlineStr">
        <is>
          <t>LSE-12</t>
        </is>
      </c>
      <c r="I175" s="7" t="inlineStr">
        <is>
          <t>GEN-08</t>
        </is>
      </c>
      <c r="J175" s="7" t="inlineStr"/>
      <c r="K175" s="7" t="inlineStr">
        <is>
          <t>Same as other Article</t>
        </is>
      </c>
      <c r="L175" s="7" t="inlineStr">
        <is>
          <t>Same as Conveyance 20(1) on amount of consideration</t>
        </is>
      </c>
      <c r="M175" s="7" t="inlineStr"/>
      <c r="N175" s="7" t="inlineStr"/>
      <c r="O175" s="7" t="inlineStr"/>
      <c r="P175" s="7" t="inlineStr"/>
      <c r="Q175" s="7" t="inlineStr">
        <is>
          <t>No</t>
        </is>
      </c>
    </row>
    <row r="176">
      <c r="A176" s="10" t="inlineStr">
        <is>
          <t>53(b)</t>
        </is>
      </c>
      <c r="B176" s="7" t="inlineStr">
        <is>
          <t>53</t>
        </is>
      </c>
      <c r="C176" s="7" t="inlineStr">
        <is>
          <t>DN-56</t>
        </is>
      </c>
      <c r="D176" s="7" t="inlineStr">
        <is>
          <t>Transfer / Assignment of Lease</t>
        </is>
      </c>
      <c r="E176" s="7" t="inlineStr">
        <is>
          <t>Transfer of ownership / rights in property</t>
        </is>
      </c>
      <c r="F176" s="7" t="inlineStr">
        <is>
          <t>Transfer of lease - remaining period &gt; 30 years</t>
        </is>
      </c>
      <c r="G176" s="7" t="inlineStr">
        <is>
          <t>LSE-12 &gt; 30</t>
        </is>
      </c>
      <c r="H176" s="7" t="inlineStr">
        <is>
          <t>LSE-12</t>
        </is>
      </c>
      <c r="I176" s="7" t="inlineStr">
        <is>
          <t>GEN-09</t>
        </is>
      </c>
      <c r="J176" s="7" t="inlineStr"/>
      <c r="K176" s="7" t="inlineStr">
        <is>
          <t>Same as other Article</t>
        </is>
      </c>
      <c r="L176" s="7" t="inlineStr">
        <is>
          <t>Same as Conveyance 20(1) on MV of property</t>
        </is>
      </c>
      <c r="M176" s="7" t="inlineStr"/>
      <c r="N176" s="7" t="inlineStr"/>
      <c r="O176" s="7" t="inlineStr"/>
      <c r="P176" s="7" t="inlineStr"/>
      <c r="Q176" s="7" t="inlineStr">
        <is>
          <t>No</t>
        </is>
      </c>
    </row>
    <row r="177">
      <c r="A177" s="10" t="inlineStr">
        <is>
          <t>53-A</t>
        </is>
      </c>
      <c r="B177" s="7" t="inlineStr">
        <is>
          <t>53-A</t>
        </is>
      </c>
      <c r="C177" s="7" t="inlineStr">
        <is>
          <t>DN-57</t>
        </is>
      </c>
      <c r="D177" s="7" t="inlineStr">
        <is>
          <t>Transfer of Licence</t>
        </is>
      </c>
      <c r="E177" s="7" t="inlineStr">
        <is>
          <t>Transfer of ownership / rights in property</t>
        </is>
      </c>
      <c r="F177" s="7" t="inlineStr">
        <is>
          <t>Transfer of licence</t>
        </is>
      </c>
      <c r="G177" s="7" t="inlineStr">
        <is>
          <t>Nature of document selected (no further condition)</t>
        </is>
      </c>
      <c r="H177" s="7" t="inlineStr"/>
      <c r="I177" s="7" t="inlineStr">
        <is>
          <t>GEN-08, GEN-09</t>
        </is>
      </c>
      <c r="J177" s="7" t="inlineStr"/>
      <c r="K177" s="7" t="inlineStr">
        <is>
          <t>Same as other Article</t>
        </is>
      </c>
      <c r="L177" s="7" t="inlineStr">
        <is>
          <t>Same as Conveyance (Art 20)</t>
        </is>
      </c>
      <c r="M177" s="7" t="inlineStr"/>
      <c r="N177" s="7" t="inlineStr"/>
      <c r="O177" s="7" t="inlineStr"/>
      <c r="P177" s="7" t="inlineStr"/>
      <c r="Q177" s="7" t="inlineStr">
        <is>
          <t>No</t>
        </is>
      </c>
    </row>
    <row r="178">
      <c r="A178" s="10" t="inlineStr">
        <is>
          <t>54(i)</t>
        </is>
      </c>
      <c r="B178" s="7" t="inlineStr">
        <is>
          <t>54</t>
        </is>
      </c>
      <c r="C178" s="7" t="inlineStr">
        <is>
          <t>DN-58</t>
        </is>
      </c>
      <c r="D178" s="7" t="inlineStr">
        <is>
          <t>Trust (Declaration of Trust)</t>
        </is>
      </c>
      <c r="E178" s="7" t="inlineStr">
        <is>
          <t>Division / distribution of property (partition, settlement, trust)</t>
        </is>
      </c>
      <c r="F178" s="7" t="inlineStr">
        <is>
          <t>Trust - exclusively public religious &amp; charitable</t>
        </is>
      </c>
      <c r="G178" s="7" t="inlineStr">
        <is>
          <t>TRS-01 = Public religious &amp; charitable</t>
        </is>
      </c>
      <c r="H178" s="7" t="inlineStr">
        <is>
          <t>TRS-01</t>
        </is>
      </c>
      <c r="I178" s="7" t="inlineStr"/>
      <c r="J178" s="7" t="inlineStr"/>
      <c r="K178" s="7" t="inlineStr">
        <is>
          <t>Fixed</t>
        </is>
      </c>
      <c r="L178" s="7" t="inlineStr">
        <is>
          <t>Rs. 1,000</t>
        </is>
      </c>
      <c r="M178" s="7" t="inlineStr"/>
      <c r="N178" s="7" t="inlineStr"/>
      <c r="O178" s="7" t="inlineStr"/>
      <c r="P178" s="7" t="inlineStr"/>
      <c r="Q178" s="7" t="inlineStr">
        <is>
          <t>No</t>
        </is>
      </c>
    </row>
    <row r="179">
      <c r="A179" s="10" t="inlineStr">
        <is>
          <t>54(ii)</t>
        </is>
      </c>
      <c r="B179" s="7" t="inlineStr">
        <is>
          <t>54</t>
        </is>
      </c>
      <c r="C179" s="7" t="inlineStr">
        <is>
          <t>DN-58</t>
        </is>
      </c>
      <c r="D179" s="7" t="inlineStr">
        <is>
          <t>Trust (Declaration of Trust)</t>
        </is>
      </c>
      <c r="E179" s="7" t="inlineStr">
        <is>
          <t>Division / distribution of property (partition, settlement, trust)</t>
        </is>
      </c>
      <c r="F179" s="7" t="inlineStr">
        <is>
          <t>Trust - management / custody, no transfer of property</t>
        </is>
      </c>
      <c r="G179" s="7" t="inlineStr">
        <is>
          <t>TRS-01 = Management, no transfer</t>
        </is>
      </c>
      <c r="H179" s="7" t="inlineStr">
        <is>
          <t>TRS-01</t>
        </is>
      </c>
      <c r="I179" s="7" t="inlineStr"/>
      <c r="J179" s="7" t="inlineStr"/>
      <c r="K179" s="7" t="inlineStr">
        <is>
          <t>Fixed</t>
        </is>
      </c>
      <c r="L179" s="7" t="inlineStr">
        <is>
          <t>Rs. 1,000</t>
        </is>
      </c>
      <c r="M179" s="7" t="inlineStr"/>
      <c r="N179" s="7" t="inlineStr"/>
      <c r="O179" s="7" t="inlineStr"/>
      <c r="P179" s="7" t="inlineStr"/>
      <c r="Q179" s="7" t="inlineStr">
        <is>
          <t>No</t>
        </is>
      </c>
    </row>
    <row r="180">
      <c r="A180" s="10" t="inlineStr">
        <is>
          <t>54(iii)</t>
        </is>
      </c>
      <c r="B180" s="7" t="inlineStr">
        <is>
          <t>54</t>
        </is>
      </c>
      <c r="C180" s="7" t="inlineStr">
        <is>
          <t>DN-58</t>
        </is>
      </c>
      <c r="D180" s="7" t="inlineStr">
        <is>
          <t>Trust (Declaration of Trust)</t>
        </is>
      </c>
      <c r="E180" s="7" t="inlineStr">
        <is>
          <t>Division / distribution of property (partition, settlement, trust)</t>
        </is>
      </c>
      <c r="F180" s="7" t="inlineStr">
        <is>
          <t>Trust - involves transfer / disposition of property</t>
        </is>
      </c>
      <c r="G180" s="7" t="inlineStr">
        <is>
          <t>TRS-01 = Involves transfer</t>
        </is>
      </c>
      <c r="H180" s="7" t="inlineStr">
        <is>
          <t>TRS-01</t>
        </is>
      </c>
      <c r="I180" s="7" t="inlineStr">
        <is>
          <t>GEN-08, GEN-09</t>
        </is>
      </c>
      <c r="J180" s="7" t="inlineStr"/>
      <c r="K180" s="7" t="inlineStr">
        <is>
          <t>Same as other Article</t>
        </is>
      </c>
      <c r="L180" s="7" t="inlineStr">
        <is>
          <t>Same as Conveyance 20(1) on amount and MV of property transferred</t>
        </is>
      </c>
      <c r="M180" s="7" t="inlineStr"/>
      <c r="N180" s="7" t="inlineStr"/>
      <c r="O180" s="7" t="inlineStr"/>
      <c r="P180" s="7" t="inlineStr"/>
      <c r="Q180" s="11" t="inlineStr">
        <is>
          <t>Yes</t>
        </is>
      </c>
    </row>
    <row r="181">
      <c r="A181" s="10" t="inlineStr">
        <is>
          <t>55</t>
        </is>
      </c>
      <c r="B181" s="7" t="inlineStr">
        <is>
          <t>55</t>
        </is>
      </c>
      <c r="C181" s="7" t="inlineStr">
        <is>
          <t>DN-59</t>
        </is>
      </c>
      <c r="D181" s="7" t="inlineStr">
        <is>
          <t>Warrant for Goods</t>
        </is>
      </c>
      <c r="E181" s="7" t="inlineStr">
        <is>
          <t>Shipping, goods and trade documents</t>
        </is>
      </c>
      <c r="F181" s="7" t="inlineStr">
        <is>
          <t>Warrant for goods</t>
        </is>
      </c>
      <c r="G181" s="7" t="inlineStr">
        <is>
          <t>Nature of document selected (no further condition)</t>
        </is>
      </c>
      <c r="H181" s="7" t="inlineStr"/>
      <c r="I181" s="7" t="inlineStr"/>
      <c r="J181" s="7" t="inlineStr"/>
      <c r="K181" s="7" t="inlineStr">
        <is>
          <t>Fixed</t>
        </is>
      </c>
      <c r="L181" s="7" t="inlineStr">
        <is>
          <t>Rs. 50</t>
        </is>
      </c>
      <c r="M181" s="7" t="inlineStr"/>
      <c r="N181" s="7" t="inlineStr"/>
      <c r="O181" s="7" t="inlineStr"/>
      <c r="P181" s="7" t="inlineStr"/>
      <c r="Q181" s="7" t="inlineStr">
        <is>
          <t>No</t>
        </is>
      </c>
    </row>
  </sheetData>
  <autoFilter ref="A1:Q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L18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45"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width="4.2" customWidth="1" min="26" max="26"/>
    <col width="4.2" customWidth="1" min="27" max="27"/>
    <col width="4.2" customWidth="1" min="28" max="28"/>
    <col width="4.2" customWidth="1" min="29" max="29"/>
    <col width="4.2" customWidth="1" min="30" max="30"/>
    <col width="4.2" customWidth="1" min="31" max="31"/>
    <col width="4.2" customWidth="1" min="32" max="32"/>
    <col width="4.2" customWidth="1" min="33" max="33"/>
    <col width="4.2"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 width="4.2" customWidth="1" min="47" max="47"/>
    <col width="4.2" customWidth="1" min="48" max="48"/>
    <col width="4.2" customWidth="1" min="49" max="49"/>
    <col width="4.2" customWidth="1" min="50" max="50"/>
    <col width="4.2" customWidth="1" min="51" max="51"/>
    <col width="4.2" customWidth="1" min="52" max="52"/>
    <col width="4.2" customWidth="1" min="53" max="53"/>
    <col width="4.2" customWidth="1" min="54" max="54"/>
    <col width="4.2" customWidth="1" min="55" max="55"/>
    <col width="4.2" customWidth="1" min="56" max="56"/>
    <col width="4.2" customWidth="1" min="57" max="57"/>
    <col width="4.2" customWidth="1" min="58" max="58"/>
    <col width="4.2" customWidth="1" min="59" max="59"/>
    <col width="4.2" customWidth="1" min="60" max="60"/>
    <col width="4.2" customWidth="1" min="61" max="61"/>
    <col width="4.2" customWidth="1" min="62" max="62"/>
    <col width="4.2" customWidth="1" min="63" max="63"/>
    <col width="4.2" customWidth="1" min="64" max="64"/>
    <col width="4.2" customWidth="1" min="65" max="65"/>
    <col width="4.2" customWidth="1" min="66" max="66"/>
    <col width="4.2" customWidth="1" min="67" max="67"/>
    <col width="4.2" customWidth="1" min="68" max="68"/>
    <col width="4.2" customWidth="1" min="69" max="69"/>
    <col width="4.2" customWidth="1" min="70" max="70"/>
    <col width="4.2" customWidth="1" min="71" max="71"/>
    <col width="4.2" customWidth="1" min="72" max="72"/>
    <col width="4.2" customWidth="1" min="73" max="73"/>
    <col width="4.2" customWidth="1" min="74" max="74"/>
    <col width="4.2" customWidth="1" min="75" max="75"/>
    <col width="4.2" customWidth="1" min="76" max="76"/>
    <col width="4.2" customWidth="1" min="77" max="77"/>
    <col width="4.2" customWidth="1" min="78" max="78"/>
    <col width="4.2" customWidth="1" min="79" max="79"/>
    <col width="4.2" customWidth="1" min="80" max="80"/>
    <col width="4.2" customWidth="1" min="81" max="81"/>
    <col width="4.2" customWidth="1" min="82" max="82"/>
    <col width="4.2"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4.2" customWidth="1" min="93" max="93"/>
    <col width="4.2" customWidth="1" min="94" max="94"/>
    <col width="4.2" customWidth="1" min="95" max="95"/>
    <col width="4.2" customWidth="1" min="96" max="96"/>
    <col width="4.2" customWidth="1" min="97" max="97"/>
    <col width="4.2" customWidth="1" min="98" max="98"/>
    <col width="4.2" customWidth="1" min="99" max="99"/>
    <col width="4.2" customWidth="1" min="100" max="100"/>
    <col width="4.2" customWidth="1" min="101" max="101"/>
    <col width="4.2" customWidth="1" min="102" max="102"/>
    <col width="4.2" customWidth="1" min="103" max="103"/>
    <col width="4.2"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4.2" customWidth="1" min="113" max="113"/>
    <col width="4.2" customWidth="1" min="114" max="114"/>
    <col width="4.2" customWidth="1" min="115" max="115"/>
    <col width="4.2" customWidth="1" min="116" max="116"/>
  </cols>
  <sheetData>
    <row r="1">
      <c r="A1" s="12" t="inlineStr">
        <is>
          <t>Legend:</t>
        </is>
      </c>
      <c r="B1" t="inlineStr">
        <is>
          <t>I = identifies the Article   C = needed for duty calculation   I+C = both   E = exemption / adjustment check   (GEN-01, GEN-02, GEN-03, GEN-04, GEN-05, GEN-06 are captured for every document)</t>
        </is>
      </c>
    </row>
    <row r="2" ht="70" customHeight="1">
      <c r="A2" s="6" t="inlineStr">
        <is>
          <t>Rule / Article ref</t>
        </is>
      </c>
      <c r="B2" s="6" t="inlineStr">
        <is>
          <t>Instrument</t>
        </is>
      </c>
      <c r="C2" s="13" t="inlineStr">
        <is>
          <t>GEN-05</t>
        </is>
      </c>
      <c r="D2" s="13" t="inlineStr">
        <is>
          <t>GEN-07</t>
        </is>
      </c>
      <c r="E2" s="13" t="inlineStr">
        <is>
          <t>GEN-08</t>
        </is>
      </c>
      <c r="F2" s="13" t="inlineStr">
        <is>
          <t>GEN-09</t>
        </is>
      </c>
      <c r="G2" s="13" t="inlineStr">
        <is>
          <t>GEN-11</t>
        </is>
      </c>
      <c r="H2" s="13" t="inlineStr">
        <is>
          <t>GEN-12</t>
        </is>
      </c>
      <c r="I2" s="13" t="inlineStr">
        <is>
          <t>GEN-13</t>
        </is>
      </c>
      <c r="J2" s="13" t="inlineStr">
        <is>
          <t>PRP-01</t>
        </is>
      </c>
      <c r="K2" s="13" t="inlineStr">
        <is>
          <t>PRP-02</t>
        </is>
      </c>
      <c r="L2" s="13" t="inlineStr">
        <is>
          <t>PRP-03</t>
        </is>
      </c>
      <c r="M2" s="13" t="inlineStr">
        <is>
          <t>PRP-04</t>
        </is>
      </c>
      <c r="N2" s="13" t="inlineStr">
        <is>
          <t>PRP-05</t>
        </is>
      </c>
      <c r="O2" s="13" t="inlineStr">
        <is>
          <t>PRP-06</t>
        </is>
      </c>
      <c r="P2" s="13" t="inlineStr">
        <is>
          <t>PRP-07</t>
        </is>
      </c>
      <c r="Q2" s="13" t="inlineStr">
        <is>
          <t>PRP-08</t>
        </is>
      </c>
      <c r="R2" s="13" t="inlineStr">
        <is>
          <t>PRP-09</t>
        </is>
      </c>
      <c r="S2" s="13" t="inlineStr">
        <is>
          <t>PRP-10</t>
        </is>
      </c>
      <c r="T2" s="13" t="inlineStr">
        <is>
          <t>AGR-01</t>
        </is>
      </c>
      <c r="U2" s="13" t="inlineStr">
        <is>
          <t>AGR-02</t>
        </is>
      </c>
      <c r="V2" s="13" t="inlineStr">
        <is>
          <t>AGR-03</t>
        </is>
      </c>
      <c r="W2" s="13" t="inlineStr">
        <is>
          <t>AGR-04</t>
        </is>
      </c>
      <c r="X2" s="13" t="inlineStr">
        <is>
          <t>AGR-05</t>
        </is>
      </c>
      <c r="Y2" s="13" t="inlineStr">
        <is>
          <t>AGR-06</t>
        </is>
      </c>
      <c r="Z2" s="13" t="inlineStr">
        <is>
          <t>AGR-07</t>
        </is>
      </c>
      <c r="AA2" s="13" t="inlineStr">
        <is>
          <t>AGR-08</t>
        </is>
      </c>
      <c r="AB2" s="13" t="inlineStr">
        <is>
          <t>AGR-09</t>
        </is>
      </c>
      <c r="AC2" s="13" t="inlineStr">
        <is>
          <t>AGR-10</t>
        </is>
      </c>
      <c r="AD2" s="13" t="inlineStr">
        <is>
          <t>AGR-11</t>
        </is>
      </c>
      <c r="AE2" s="13" t="inlineStr">
        <is>
          <t>AGR-12</t>
        </is>
      </c>
      <c r="AF2" s="13" t="inlineStr">
        <is>
          <t>AGR-13</t>
        </is>
      </c>
      <c r="AG2" s="13" t="inlineStr">
        <is>
          <t>AGR-14</t>
        </is>
      </c>
      <c r="AH2" s="13" t="inlineStr">
        <is>
          <t>AGR-15</t>
        </is>
      </c>
      <c r="AI2" s="13" t="inlineStr">
        <is>
          <t>LON-01</t>
        </is>
      </c>
      <c r="AJ2" s="13" t="inlineStr">
        <is>
          <t>LON-02</t>
        </is>
      </c>
      <c r="AK2" s="13" t="inlineStr">
        <is>
          <t>LON-03</t>
        </is>
      </c>
      <c r="AL2" s="13" t="inlineStr">
        <is>
          <t>LON-04</t>
        </is>
      </c>
      <c r="AM2" s="13" t="inlineStr">
        <is>
          <t>LON-05</t>
        </is>
      </c>
      <c r="AN2" s="13" t="inlineStr">
        <is>
          <t>LON-06</t>
        </is>
      </c>
      <c r="AO2" s="13" t="inlineStr">
        <is>
          <t>LON-07</t>
        </is>
      </c>
      <c r="AP2" s="13" t="inlineStr">
        <is>
          <t>LON-08</t>
        </is>
      </c>
      <c r="AQ2" s="13" t="inlineStr">
        <is>
          <t>LON-09</t>
        </is>
      </c>
      <c r="AR2" s="13" t="inlineStr">
        <is>
          <t>LON-10</t>
        </is>
      </c>
      <c r="AS2" s="13" t="inlineStr">
        <is>
          <t>LON-11</t>
        </is>
      </c>
      <c r="AT2" s="13" t="inlineStr">
        <is>
          <t>LON-12</t>
        </is>
      </c>
      <c r="AU2" s="13" t="inlineStr">
        <is>
          <t>LON-13</t>
        </is>
      </c>
      <c r="AV2" s="13" t="inlineStr">
        <is>
          <t>LON-14</t>
        </is>
      </c>
      <c r="AW2" s="13" t="inlineStr">
        <is>
          <t>LSE-01</t>
        </is>
      </c>
      <c r="AX2" s="13" t="inlineStr">
        <is>
          <t>LSE-02</t>
        </is>
      </c>
      <c r="AY2" s="13" t="inlineStr">
        <is>
          <t>LSE-03</t>
        </is>
      </c>
      <c r="AZ2" s="13" t="inlineStr">
        <is>
          <t>LSE-04</t>
        </is>
      </c>
      <c r="BA2" s="13" t="inlineStr">
        <is>
          <t>LSE-05</t>
        </is>
      </c>
      <c r="BB2" s="13" t="inlineStr">
        <is>
          <t>LSE-06</t>
        </is>
      </c>
      <c r="BC2" s="13" t="inlineStr">
        <is>
          <t>LSE-07</t>
        </is>
      </c>
      <c r="BD2" s="13" t="inlineStr">
        <is>
          <t>LSE-08</t>
        </is>
      </c>
      <c r="BE2" s="13" t="inlineStr">
        <is>
          <t>LSE-09</t>
        </is>
      </c>
      <c r="BF2" s="13" t="inlineStr">
        <is>
          <t>LSE-10</t>
        </is>
      </c>
      <c r="BG2" s="13" t="inlineStr">
        <is>
          <t>LSE-11</t>
        </is>
      </c>
      <c r="BH2" s="13" t="inlineStr">
        <is>
          <t>LSE-12</t>
        </is>
      </c>
      <c r="BI2" s="13" t="inlineStr">
        <is>
          <t>LSE-13</t>
        </is>
      </c>
      <c r="BJ2" s="13" t="inlineStr">
        <is>
          <t>POA-01</t>
        </is>
      </c>
      <c r="BK2" s="13" t="inlineStr">
        <is>
          <t>POA-02</t>
        </is>
      </c>
      <c r="BL2" s="13" t="inlineStr">
        <is>
          <t>POA-03</t>
        </is>
      </c>
      <c r="BM2" s="13" t="inlineStr">
        <is>
          <t>POA-04</t>
        </is>
      </c>
      <c r="BN2" s="13" t="inlineStr">
        <is>
          <t>PRT-01</t>
        </is>
      </c>
      <c r="BO2" s="13" t="inlineStr">
        <is>
          <t>PRT-02</t>
        </is>
      </c>
      <c r="BP2" s="13" t="inlineStr">
        <is>
          <t>PRT-03</t>
        </is>
      </c>
      <c r="BQ2" s="13" t="inlineStr">
        <is>
          <t>PTN-01</t>
        </is>
      </c>
      <c r="BR2" s="13" t="inlineStr">
        <is>
          <t>PTN-02</t>
        </is>
      </c>
      <c r="BS2" s="13" t="inlineStr">
        <is>
          <t>PTN-03</t>
        </is>
      </c>
      <c r="BT2" s="13" t="inlineStr">
        <is>
          <t>LLP-01</t>
        </is>
      </c>
      <c r="BU2" s="13" t="inlineStr">
        <is>
          <t>LLP-02</t>
        </is>
      </c>
      <c r="BV2" s="13" t="inlineStr">
        <is>
          <t>LLP-03</t>
        </is>
      </c>
      <c r="BW2" s="13" t="inlineStr">
        <is>
          <t>CMP-01</t>
        </is>
      </c>
      <c r="BX2" s="13" t="inlineStr">
        <is>
          <t>CMP-02</t>
        </is>
      </c>
      <c r="BY2" s="13" t="inlineStr">
        <is>
          <t>CMP-03</t>
        </is>
      </c>
      <c r="BZ2" s="13" t="inlineStr">
        <is>
          <t>CMP-04</t>
        </is>
      </c>
      <c r="CA2" s="13" t="inlineStr">
        <is>
          <t>CMP-05</t>
        </is>
      </c>
      <c r="CB2" s="13" t="inlineStr">
        <is>
          <t>CMP-06</t>
        </is>
      </c>
      <c r="CC2" s="13" t="inlineStr">
        <is>
          <t>CMP-07</t>
        </is>
      </c>
      <c r="CD2" s="13" t="inlineStr">
        <is>
          <t>CMP-08</t>
        </is>
      </c>
      <c r="CE2" s="13" t="inlineStr">
        <is>
          <t>CMP-09</t>
        </is>
      </c>
      <c r="CF2" s="13" t="inlineStr">
        <is>
          <t>CMP-10</t>
        </is>
      </c>
      <c r="CG2" s="13" t="inlineStr">
        <is>
          <t>CMP-11</t>
        </is>
      </c>
      <c r="CH2" s="13" t="inlineStr">
        <is>
          <t>CMP-12</t>
        </is>
      </c>
      <c r="CI2" s="13" t="inlineStr">
        <is>
          <t>CMP-13</t>
        </is>
      </c>
      <c r="CJ2" s="13" t="inlineStr">
        <is>
          <t>CMP-14</t>
        </is>
      </c>
      <c r="CK2" s="13" t="inlineStr">
        <is>
          <t>TRS-01</t>
        </is>
      </c>
      <c r="CL2" s="13" t="inlineStr">
        <is>
          <t>TRS-02</t>
        </is>
      </c>
      <c r="CM2" s="13" t="inlineStr">
        <is>
          <t>STL-01</t>
        </is>
      </c>
      <c r="CN2" s="13" t="inlineStr">
        <is>
          <t>STL-02</t>
        </is>
      </c>
      <c r="CO2" s="13" t="inlineStr">
        <is>
          <t>STL-03</t>
        </is>
      </c>
      <c r="CP2" s="13" t="inlineStr">
        <is>
          <t>STL-04</t>
        </is>
      </c>
      <c r="CQ2" s="13" t="inlineStr">
        <is>
          <t>GFT-01</t>
        </is>
      </c>
      <c r="CR2" s="13" t="inlineStr">
        <is>
          <t>REL-01</t>
        </is>
      </c>
      <c r="CS2" s="13" t="inlineStr">
        <is>
          <t>REL-02</t>
        </is>
      </c>
      <c r="CT2" s="13" t="inlineStr">
        <is>
          <t>CNL-01</t>
        </is>
      </c>
      <c r="CU2" s="13" t="inlineStr">
        <is>
          <t>CNL-02</t>
        </is>
      </c>
      <c r="CV2" s="13" t="inlineStr">
        <is>
          <t>CNL-03</t>
        </is>
      </c>
      <c r="CW2" s="13" t="inlineStr">
        <is>
          <t>CNL-04</t>
        </is>
      </c>
      <c r="CX2" s="13" t="inlineStr">
        <is>
          <t>CNL-05</t>
        </is>
      </c>
      <c r="CY2" s="13" t="inlineStr">
        <is>
          <t>MSC-01</t>
        </is>
      </c>
      <c r="CZ2" s="13" t="inlineStr">
        <is>
          <t>MSC-02</t>
        </is>
      </c>
      <c r="DA2" s="13" t="inlineStr">
        <is>
          <t>MSC-03</t>
        </is>
      </c>
      <c r="DB2" s="13" t="inlineStr">
        <is>
          <t>MSC-04</t>
        </is>
      </c>
      <c r="DC2" s="13" t="inlineStr">
        <is>
          <t>MSC-05</t>
        </is>
      </c>
      <c r="DD2" s="13" t="inlineStr">
        <is>
          <t>MSC-06</t>
        </is>
      </c>
      <c r="DE2" s="13" t="inlineStr">
        <is>
          <t>MSC-07</t>
        </is>
      </c>
      <c r="DF2" s="13" t="inlineStr">
        <is>
          <t>MSC-08</t>
        </is>
      </c>
      <c r="DG2" s="13" t="inlineStr">
        <is>
          <t>MSC-09</t>
        </is>
      </c>
      <c r="DH2" s="13" t="inlineStr">
        <is>
          <t>MSC-10</t>
        </is>
      </c>
      <c r="DI2" s="13" t="inlineStr">
        <is>
          <t>MSC-11</t>
        </is>
      </c>
      <c r="DJ2" s="13" t="inlineStr">
        <is>
          <t>MSC-12</t>
        </is>
      </c>
      <c r="DK2" s="13" t="inlineStr">
        <is>
          <t>MSC-13</t>
        </is>
      </c>
      <c r="DL2" s="13" t="inlineStr">
        <is>
          <t>MSC-14</t>
        </is>
      </c>
    </row>
    <row r="3">
      <c r="A3" s="14" t="inlineStr">
        <is>
          <t>1(i)(a)</t>
        </is>
      </c>
      <c r="B3" s="7" t="inlineStr">
        <is>
          <t>Acknowledgement of debt</t>
        </is>
      </c>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15" t="n"/>
      <c r="AA3" s="15" t="n"/>
      <c r="AB3" s="15" t="n"/>
      <c r="AC3" s="15" t="n"/>
      <c r="AD3" s="15" t="n"/>
      <c r="AE3" s="15" t="n"/>
      <c r="AF3" s="15" t="n"/>
      <c r="AG3" s="15" t="n"/>
      <c r="AH3" s="15" t="n"/>
      <c r="AI3" s="15" t="n"/>
      <c r="AJ3" s="15" t="n"/>
      <c r="AK3" s="15" t="n"/>
      <c r="AL3" s="15" t="n"/>
      <c r="AM3" s="15" t="n"/>
      <c r="AN3" s="15" t="n"/>
      <c r="AO3" s="15" t="n"/>
      <c r="AP3" s="15" t="n"/>
      <c r="AQ3" s="15" t="n"/>
      <c r="AR3" s="15" t="n"/>
      <c r="AS3" s="15" t="n"/>
      <c r="AT3" s="15" t="n"/>
      <c r="AU3" s="15" t="n"/>
      <c r="AV3" s="15" t="n"/>
      <c r="AW3" s="15" t="n"/>
      <c r="AX3" s="15" t="n"/>
      <c r="AY3" s="15" t="n"/>
      <c r="AZ3" s="15" t="n"/>
      <c r="BA3" s="15" t="n"/>
      <c r="BB3" s="15" t="n"/>
      <c r="BC3" s="15" t="n"/>
      <c r="BD3" s="15" t="n"/>
      <c r="BE3" s="15" t="n"/>
      <c r="BF3" s="15" t="n"/>
      <c r="BG3" s="15" t="n"/>
      <c r="BH3" s="15" t="n"/>
      <c r="BI3" s="15" t="n"/>
      <c r="BJ3" s="15" t="n"/>
      <c r="BK3" s="15" t="n"/>
      <c r="BL3" s="15" t="n"/>
      <c r="BM3" s="15" t="n"/>
      <c r="BN3" s="15" t="n"/>
      <c r="BO3" s="15" t="n"/>
      <c r="BP3" s="15" t="n"/>
      <c r="BQ3" s="15" t="n"/>
      <c r="BR3" s="15" t="n"/>
      <c r="BS3" s="15" t="n"/>
      <c r="BT3" s="15" t="n"/>
      <c r="BU3" s="15" t="n"/>
      <c r="BV3" s="15" t="n"/>
      <c r="BW3" s="15" t="n"/>
      <c r="BX3" s="15" t="n"/>
      <c r="BY3" s="15" t="n"/>
      <c r="BZ3" s="15" t="n"/>
      <c r="CA3" s="15" t="n"/>
      <c r="CB3" s="15" t="n"/>
      <c r="CC3" s="15" t="n"/>
      <c r="CD3" s="15" t="n"/>
      <c r="CE3" s="15" t="n"/>
      <c r="CF3" s="15" t="n"/>
      <c r="CG3" s="15" t="n"/>
      <c r="CH3" s="15" t="n"/>
      <c r="CI3" s="15" t="n"/>
      <c r="CJ3" s="15" t="n"/>
      <c r="CK3" s="15" t="n"/>
      <c r="CL3" s="15" t="n"/>
      <c r="CM3" s="15" t="n"/>
      <c r="CN3" s="15" t="n"/>
      <c r="CO3" s="15" t="n"/>
      <c r="CP3" s="15" t="n"/>
      <c r="CQ3" s="15" t="n"/>
      <c r="CR3" s="15" t="n"/>
      <c r="CS3" s="15" t="n"/>
      <c r="CT3" s="15" t="n"/>
      <c r="CU3" s="15" t="n"/>
      <c r="CV3" s="15" t="n"/>
      <c r="CW3" s="15" t="n"/>
      <c r="CX3" s="15" t="n"/>
      <c r="CY3" s="15" t="n"/>
      <c r="CZ3" s="16" t="inlineStr">
        <is>
          <t>I+C</t>
        </is>
      </c>
      <c r="DA3" s="15" t="n"/>
      <c r="DB3" s="15" t="n"/>
      <c r="DC3" s="15" t="n"/>
      <c r="DD3" s="15" t="n"/>
      <c r="DE3" s="15" t="n"/>
      <c r="DF3" s="15" t="n"/>
      <c r="DG3" s="15" t="n"/>
      <c r="DH3" s="15" t="n"/>
      <c r="DI3" s="15" t="n"/>
      <c r="DJ3" s="15" t="n"/>
      <c r="DK3" s="15" t="n"/>
      <c r="DL3" s="15" t="n"/>
    </row>
    <row r="4">
      <c r="A4" s="14" t="inlineStr">
        <is>
          <t>1(i)(b)</t>
        </is>
      </c>
      <c r="B4" s="7" t="inlineStr">
        <is>
          <t>Acknowledgement of debt</t>
        </is>
      </c>
      <c r="C4" s="15" t="n"/>
      <c r="D4" s="15" t="n"/>
      <c r="E4" s="15" t="n"/>
      <c r="F4" s="15" t="n"/>
      <c r="G4" s="15" t="n"/>
      <c r="H4" s="15" t="n"/>
      <c r="I4" s="15" t="n"/>
      <c r="J4" s="15" t="n"/>
      <c r="K4" s="15" t="n"/>
      <c r="L4" s="15" t="n"/>
      <c r="M4" s="15" t="n"/>
      <c r="N4" s="15" t="n"/>
      <c r="O4" s="15" t="n"/>
      <c r="P4" s="15" t="n"/>
      <c r="Q4" s="15" t="n"/>
      <c r="R4" s="15" t="n"/>
      <c r="S4" s="15" t="n"/>
      <c r="T4" s="15" t="n"/>
      <c r="U4" s="15" t="n"/>
      <c r="V4" s="15" t="n"/>
      <c r="W4" s="15" t="n"/>
      <c r="X4" s="15" t="n"/>
      <c r="Y4" s="15" t="n"/>
      <c r="Z4" s="15" t="n"/>
      <c r="AA4" s="15" t="n"/>
      <c r="AB4" s="15" t="n"/>
      <c r="AC4" s="15" t="n"/>
      <c r="AD4" s="15" t="n"/>
      <c r="AE4" s="15" t="n"/>
      <c r="AF4" s="15" t="n"/>
      <c r="AG4" s="15" t="n"/>
      <c r="AH4" s="15" t="n"/>
      <c r="AI4" s="15" t="n"/>
      <c r="AJ4" s="15" t="n"/>
      <c r="AK4" s="15" t="n"/>
      <c r="AL4" s="15" t="n"/>
      <c r="AM4" s="15" t="n"/>
      <c r="AN4" s="15" t="n"/>
      <c r="AO4" s="15" t="n"/>
      <c r="AP4" s="15" t="n"/>
      <c r="AQ4" s="15" t="n"/>
      <c r="AR4" s="15" t="n"/>
      <c r="AS4" s="15" t="n"/>
      <c r="AT4" s="15" t="n"/>
      <c r="AU4" s="15" t="n"/>
      <c r="AV4" s="15" t="n"/>
      <c r="AW4" s="15" t="n"/>
      <c r="AX4" s="15" t="n"/>
      <c r="AY4" s="15" t="n"/>
      <c r="AZ4" s="15" t="n"/>
      <c r="BA4" s="15" t="n"/>
      <c r="BB4" s="15" t="n"/>
      <c r="BC4" s="15" t="n"/>
      <c r="BD4" s="15" t="n"/>
      <c r="BE4" s="15" t="n"/>
      <c r="BF4" s="15" t="n"/>
      <c r="BG4" s="15" t="n"/>
      <c r="BH4" s="15" t="n"/>
      <c r="BI4" s="15" t="n"/>
      <c r="BJ4" s="15" t="n"/>
      <c r="BK4" s="15" t="n"/>
      <c r="BL4" s="15" t="n"/>
      <c r="BM4" s="15" t="n"/>
      <c r="BN4" s="15" t="n"/>
      <c r="BO4" s="15" t="n"/>
      <c r="BP4" s="15" t="n"/>
      <c r="BQ4" s="15" t="n"/>
      <c r="BR4" s="15" t="n"/>
      <c r="BS4" s="15" t="n"/>
      <c r="BT4" s="15" t="n"/>
      <c r="BU4" s="15" t="n"/>
      <c r="BV4" s="15" t="n"/>
      <c r="BW4" s="15" t="n"/>
      <c r="BX4" s="15" t="n"/>
      <c r="BY4" s="15" t="n"/>
      <c r="BZ4" s="15" t="n"/>
      <c r="CA4" s="15" t="n"/>
      <c r="CB4" s="15" t="n"/>
      <c r="CC4" s="15" t="n"/>
      <c r="CD4" s="15" t="n"/>
      <c r="CE4" s="15" t="n"/>
      <c r="CF4" s="15" t="n"/>
      <c r="CG4" s="15" t="n"/>
      <c r="CH4" s="15" t="n"/>
      <c r="CI4" s="15" t="n"/>
      <c r="CJ4" s="15" t="n"/>
      <c r="CK4" s="15" t="n"/>
      <c r="CL4" s="15" t="n"/>
      <c r="CM4" s="15" t="n"/>
      <c r="CN4" s="15" t="n"/>
      <c r="CO4" s="15" t="n"/>
      <c r="CP4" s="15" t="n"/>
      <c r="CQ4" s="15" t="n"/>
      <c r="CR4" s="15" t="n"/>
      <c r="CS4" s="15" t="n"/>
      <c r="CT4" s="15" t="n"/>
      <c r="CU4" s="15" t="n"/>
      <c r="CV4" s="15" t="n"/>
      <c r="CW4" s="15" t="n"/>
      <c r="CX4" s="15" t="n"/>
      <c r="CY4" s="15" t="n"/>
      <c r="CZ4" s="16" t="inlineStr">
        <is>
          <t>I+C</t>
        </is>
      </c>
      <c r="DA4" s="15" t="n"/>
      <c r="DB4" s="15" t="n"/>
      <c r="DC4" s="15" t="n"/>
      <c r="DD4" s="15" t="n"/>
      <c r="DE4" s="15" t="n"/>
      <c r="DF4" s="15" t="n"/>
      <c r="DG4" s="15" t="n"/>
      <c r="DH4" s="15" t="n"/>
      <c r="DI4" s="15" t="n"/>
      <c r="DJ4" s="15" t="n"/>
      <c r="DK4" s="15" t="n"/>
      <c r="DL4" s="15" t="n"/>
    </row>
    <row r="5">
      <c r="A5" s="14" t="inlineStr">
        <is>
          <t>1(ii)</t>
        </is>
      </c>
      <c r="B5" s="7" t="inlineStr">
        <is>
          <t>Acknowledgement of receipt of letter / parcel / consignment</t>
        </is>
      </c>
      <c r="C5" s="15" t="n"/>
      <c r="D5" s="15" t="n"/>
      <c r="E5" s="15" t="n"/>
      <c r="F5" s="15" t="n"/>
      <c r="G5" s="15" t="n"/>
      <c r="H5" s="15" t="n"/>
      <c r="I5" s="15" t="n"/>
      <c r="J5" s="15" t="n"/>
      <c r="K5" s="15" t="n"/>
      <c r="L5" s="15" t="n"/>
      <c r="M5" s="15" t="n"/>
      <c r="N5" s="15" t="n"/>
      <c r="O5" s="15" t="n"/>
      <c r="P5" s="15" t="n"/>
      <c r="Q5" s="15" t="n"/>
      <c r="R5" s="15" t="n"/>
      <c r="S5" s="15" t="n"/>
      <c r="T5" s="15" t="n"/>
      <c r="U5" s="15" t="n"/>
      <c r="V5" s="15" t="n"/>
      <c r="W5" s="15" t="n"/>
      <c r="X5" s="15" t="n"/>
      <c r="Y5" s="15" t="n"/>
      <c r="Z5" s="15" t="n"/>
      <c r="AA5" s="15" t="n"/>
      <c r="AB5" s="15" t="n"/>
      <c r="AC5" s="15" t="n"/>
      <c r="AD5" s="15" t="n"/>
      <c r="AE5" s="15" t="n"/>
      <c r="AF5" s="15" t="n"/>
      <c r="AG5" s="15" t="n"/>
      <c r="AH5" s="15" t="n"/>
      <c r="AI5" s="15" t="n"/>
      <c r="AJ5" s="15" t="n"/>
      <c r="AK5" s="15" t="n"/>
      <c r="AL5" s="15" t="n"/>
      <c r="AM5" s="15" t="n"/>
      <c r="AN5" s="15" t="n"/>
      <c r="AO5" s="15" t="n"/>
      <c r="AP5" s="15" t="n"/>
      <c r="AQ5" s="15" t="n"/>
      <c r="AR5" s="15" t="n"/>
      <c r="AS5" s="15" t="n"/>
      <c r="AT5" s="15" t="n"/>
      <c r="AU5" s="15" t="n"/>
      <c r="AV5" s="15" t="n"/>
      <c r="AW5" s="15" t="n"/>
      <c r="AX5" s="15" t="n"/>
      <c r="AY5" s="15" t="n"/>
      <c r="AZ5" s="15" t="n"/>
      <c r="BA5" s="15" t="n"/>
      <c r="BB5" s="15" t="n"/>
      <c r="BC5" s="15" t="n"/>
      <c r="BD5" s="15" t="n"/>
      <c r="BE5" s="15" t="n"/>
      <c r="BF5" s="15" t="n"/>
      <c r="BG5" s="15" t="n"/>
      <c r="BH5" s="15" t="n"/>
      <c r="BI5" s="15" t="n"/>
      <c r="BJ5" s="15" t="n"/>
      <c r="BK5" s="15" t="n"/>
      <c r="BL5" s="15" t="n"/>
      <c r="BM5" s="15" t="n"/>
      <c r="BN5" s="15" t="n"/>
      <c r="BO5" s="15" t="n"/>
      <c r="BP5" s="15" t="n"/>
      <c r="BQ5" s="15" t="n"/>
      <c r="BR5" s="15" t="n"/>
      <c r="BS5" s="15" t="n"/>
      <c r="BT5" s="15" t="n"/>
      <c r="BU5" s="15" t="n"/>
      <c r="BV5" s="15" t="n"/>
      <c r="BW5" s="15" t="n"/>
      <c r="BX5" s="15" t="n"/>
      <c r="BY5" s="15" t="n"/>
      <c r="BZ5" s="15" t="n"/>
      <c r="CA5" s="15" t="n"/>
      <c r="CB5" s="15" t="n"/>
      <c r="CC5" s="15" t="n"/>
      <c r="CD5" s="15" t="n"/>
      <c r="CE5" s="15" t="n"/>
      <c r="CF5" s="15" t="n"/>
      <c r="CG5" s="15" t="n"/>
      <c r="CH5" s="15" t="n"/>
      <c r="CI5" s="15" t="n"/>
      <c r="CJ5" s="15" t="n"/>
      <c r="CK5" s="15" t="n"/>
      <c r="CL5" s="15" t="n"/>
      <c r="CM5" s="15" t="n"/>
      <c r="CN5" s="15" t="n"/>
      <c r="CO5" s="15" t="n"/>
      <c r="CP5" s="15" t="n"/>
      <c r="CQ5" s="15" t="n"/>
      <c r="CR5" s="15" t="n"/>
      <c r="CS5" s="15" t="n"/>
      <c r="CT5" s="15" t="n"/>
      <c r="CU5" s="15" t="n"/>
      <c r="CV5" s="15" t="n"/>
      <c r="CW5" s="15" t="n"/>
      <c r="CX5" s="15" t="n"/>
      <c r="CY5" s="15" t="n"/>
      <c r="CZ5" s="17" t="inlineStr">
        <is>
          <t>I</t>
        </is>
      </c>
      <c r="DA5" s="15" t="n"/>
      <c r="DB5" s="15" t="n"/>
      <c r="DC5" s="15" t="n"/>
      <c r="DD5" s="15" t="n"/>
      <c r="DE5" s="15" t="n"/>
      <c r="DF5" s="15" t="n"/>
      <c r="DG5" s="15" t="n"/>
      <c r="DH5" s="15" t="n"/>
      <c r="DI5" s="15" t="n"/>
      <c r="DJ5" s="15" t="n"/>
      <c r="DK5" s="15" t="n"/>
      <c r="DL5" s="15" t="n"/>
    </row>
    <row r="6">
      <c r="A6" s="14" t="inlineStr">
        <is>
          <t>2(a)</t>
        </is>
      </c>
      <c r="B6" s="7" t="inlineStr">
        <is>
          <t>Administration Bond</t>
        </is>
      </c>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15" t="n"/>
      <c r="Y6" s="15" t="n"/>
      <c r="Z6" s="15" t="n"/>
      <c r="AA6" s="15" t="n"/>
      <c r="AB6" s="15" t="n"/>
      <c r="AC6" s="15" t="n"/>
      <c r="AD6" s="15" t="n"/>
      <c r="AE6" s="15" t="n"/>
      <c r="AF6" s="15" t="n"/>
      <c r="AG6" s="15" t="n"/>
      <c r="AH6" s="15" t="n"/>
      <c r="AI6" s="15" t="n"/>
      <c r="AJ6" s="15" t="n"/>
      <c r="AK6" s="15" t="n"/>
      <c r="AL6" s="15" t="n"/>
      <c r="AM6" s="15" t="n"/>
      <c r="AN6" s="15" t="n"/>
      <c r="AO6" s="15" t="n"/>
      <c r="AP6" s="15" t="n"/>
      <c r="AQ6" s="15" t="n"/>
      <c r="AR6" s="15" t="n"/>
      <c r="AS6" s="15" t="n"/>
      <c r="AT6" s="15" t="n"/>
      <c r="AU6" s="15" t="n"/>
      <c r="AV6" s="15" t="n"/>
      <c r="AW6" s="15" t="n"/>
      <c r="AX6" s="15" t="n"/>
      <c r="AY6" s="15" t="n"/>
      <c r="AZ6" s="15" t="n"/>
      <c r="BA6" s="15" t="n"/>
      <c r="BB6" s="15" t="n"/>
      <c r="BC6" s="15" t="n"/>
      <c r="BD6" s="15" t="n"/>
      <c r="BE6" s="15" t="n"/>
      <c r="BF6" s="15" t="n"/>
      <c r="BG6" s="15" t="n"/>
      <c r="BH6" s="15" t="n"/>
      <c r="BI6" s="15" t="n"/>
      <c r="BJ6" s="15" t="n"/>
      <c r="BK6" s="15" t="n"/>
      <c r="BL6" s="15" t="n"/>
      <c r="BM6" s="15" t="n"/>
      <c r="BN6" s="15" t="n"/>
      <c r="BO6" s="15" t="n"/>
      <c r="BP6" s="15" t="n"/>
      <c r="BQ6" s="15" t="n"/>
      <c r="BR6" s="15" t="n"/>
      <c r="BS6" s="15" t="n"/>
      <c r="BT6" s="15" t="n"/>
      <c r="BU6" s="15" t="n"/>
      <c r="BV6" s="15" t="n"/>
      <c r="BW6" s="15" t="n"/>
      <c r="BX6" s="15" t="n"/>
      <c r="BY6" s="15" t="n"/>
      <c r="BZ6" s="15" t="n"/>
      <c r="CA6" s="15" t="n"/>
      <c r="CB6" s="15" t="n"/>
      <c r="CC6" s="15" t="n"/>
      <c r="CD6" s="15" t="n"/>
      <c r="CE6" s="15" t="n"/>
      <c r="CF6" s="15" t="n"/>
      <c r="CG6" s="15" t="n"/>
      <c r="CH6" s="15" t="n"/>
      <c r="CI6" s="15" t="n"/>
      <c r="CJ6" s="15" t="n"/>
      <c r="CK6" s="15" t="n"/>
      <c r="CL6" s="15" t="n"/>
      <c r="CM6" s="15" t="n"/>
      <c r="CN6" s="15" t="n"/>
      <c r="CO6" s="15" t="n"/>
      <c r="CP6" s="15" t="n"/>
      <c r="CQ6" s="15" t="n"/>
      <c r="CR6" s="15" t="n"/>
      <c r="CS6" s="15" t="n"/>
      <c r="CT6" s="15" t="n"/>
      <c r="CU6" s="15" t="n"/>
      <c r="CV6" s="15" t="n"/>
      <c r="CW6" s="15" t="n"/>
      <c r="CX6" s="15" t="n"/>
      <c r="CY6" s="16" t="inlineStr">
        <is>
          <t>I+C</t>
        </is>
      </c>
      <c r="CZ6" s="15" t="n"/>
      <c r="DA6" s="15" t="n"/>
      <c r="DB6" s="15" t="n"/>
      <c r="DC6" s="15" t="n"/>
      <c r="DD6" s="15" t="n"/>
      <c r="DE6" s="15" t="n"/>
      <c r="DF6" s="15" t="n"/>
      <c r="DG6" s="15" t="n"/>
      <c r="DH6" s="15" t="n"/>
      <c r="DI6" s="15" t="n"/>
      <c r="DJ6" s="15" t="n"/>
      <c r="DK6" s="15" t="n"/>
      <c r="DL6" s="15" t="n"/>
    </row>
    <row r="7">
      <c r="A7" s="14" t="inlineStr">
        <is>
          <t>2(b)</t>
        </is>
      </c>
      <c r="B7" s="7" t="inlineStr">
        <is>
          <t>Administration Bond</t>
        </is>
      </c>
      <c r="C7" s="15" t="n"/>
      <c r="D7" s="15" t="n"/>
      <c r="E7" s="15" t="n"/>
      <c r="F7" s="15" t="n"/>
      <c r="G7" s="15" t="n"/>
      <c r="H7" s="15" t="n"/>
      <c r="I7" s="15" t="n"/>
      <c r="J7" s="15" t="n"/>
      <c r="K7" s="15" t="n"/>
      <c r="L7" s="15" t="n"/>
      <c r="M7" s="15" t="n"/>
      <c r="N7" s="15" t="n"/>
      <c r="O7" s="15" t="n"/>
      <c r="P7" s="15" t="n"/>
      <c r="Q7" s="15" t="n"/>
      <c r="R7" s="15" t="n"/>
      <c r="S7" s="15" t="n"/>
      <c r="T7" s="15" t="n"/>
      <c r="U7" s="15" t="n"/>
      <c r="V7" s="15" t="n"/>
      <c r="W7" s="15" t="n"/>
      <c r="X7" s="15" t="n"/>
      <c r="Y7" s="15" t="n"/>
      <c r="Z7" s="15" t="n"/>
      <c r="AA7" s="15" t="n"/>
      <c r="AB7" s="15" t="n"/>
      <c r="AC7" s="15" t="n"/>
      <c r="AD7" s="15" t="n"/>
      <c r="AE7" s="15" t="n"/>
      <c r="AF7" s="15" t="n"/>
      <c r="AG7" s="15" t="n"/>
      <c r="AH7" s="15" t="n"/>
      <c r="AI7" s="15" t="n"/>
      <c r="AJ7" s="15" t="n"/>
      <c r="AK7" s="15" t="n"/>
      <c r="AL7" s="15" t="n"/>
      <c r="AM7" s="15" t="n"/>
      <c r="AN7" s="15" t="n"/>
      <c r="AO7" s="15" t="n"/>
      <c r="AP7" s="15" t="n"/>
      <c r="AQ7" s="15" t="n"/>
      <c r="AR7" s="15" t="n"/>
      <c r="AS7" s="15" t="n"/>
      <c r="AT7" s="15" t="n"/>
      <c r="AU7" s="15" t="n"/>
      <c r="AV7" s="15" t="n"/>
      <c r="AW7" s="15" t="n"/>
      <c r="AX7" s="15" t="n"/>
      <c r="AY7" s="15" t="n"/>
      <c r="AZ7" s="15" t="n"/>
      <c r="BA7" s="15" t="n"/>
      <c r="BB7" s="15" t="n"/>
      <c r="BC7" s="15" t="n"/>
      <c r="BD7" s="15" t="n"/>
      <c r="BE7" s="15" t="n"/>
      <c r="BF7" s="15" t="n"/>
      <c r="BG7" s="15" t="n"/>
      <c r="BH7" s="15" t="n"/>
      <c r="BI7" s="15" t="n"/>
      <c r="BJ7" s="15" t="n"/>
      <c r="BK7" s="15" t="n"/>
      <c r="BL7" s="15" t="n"/>
      <c r="BM7" s="15" t="n"/>
      <c r="BN7" s="15" t="n"/>
      <c r="BO7" s="15" t="n"/>
      <c r="BP7" s="15" t="n"/>
      <c r="BQ7" s="15" t="n"/>
      <c r="BR7" s="15" t="n"/>
      <c r="BS7" s="15" t="n"/>
      <c r="BT7" s="15" t="n"/>
      <c r="BU7" s="15" t="n"/>
      <c r="BV7" s="15" t="n"/>
      <c r="BW7" s="15" t="n"/>
      <c r="BX7" s="15" t="n"/>
      <c r="BY7" s="15" t="n"/>
      <c r="BZ7" s="15" t="n"/>
      <c r="CA7" s="15" t="n"/>
      <c r="CB7" s="15" t="n"/>
      <c r="CC7" s="15" t="n"/>
      <c r="CD7" s="15" t="n"/>
      <c r="CE7" s="15" t="n"/>
      <c r="CF7" s="15" t="n"/>
      <c r="CG7" s="15" t="n"/>
      <c r="CH7" s="15" t="n"/>
      <c r="CI7" s="15" t="n"/>
      <c r="CJ7" s="15" t="n"/>
      <c r="CK7" s="15" t="n"/>
      <c r="CL7" s="15" t="n"/>
      <c r="CM7" s="15" t="n"/>
      <c r="CN7" s="15" t="n"/>
      <c r="CO7" s="15" t="n"/>
      <c r="CP7" s="15" t="n"/>
      <c r="CQ7" s="15" t="n"/>
      <c r="CR7" s="15" t="n"/>
      <c r="CS7" s="15" t="n"/>
      <c r="CT7" s="15" t="n"/>
      <c r="CU7" s="15" t="n"/>
      <c r="CV7" s="15" t="n"/>
      <c r="CW7" s="15" t="n"/>
      <c r="CX7" s="15" t="n"/>
      <c r="CY7" s="17" t="inlineStr">
        <is>
          <t>I</t>
        </is>
      </c>
      <c r="CZ7" s="15" t="n"/>
      <c r="DA7" s="15" t="n"/>
      <c r="DB7" s="15" t="n"/>
      <c r="DC7" s="15" t="n"/>
      <c r="DD7" s="15" t="n"/>
      <c r="DE7" s="15" t="n"/>
      <c r="DF7" s="15" t="n"/>
      <c r="DG7" s="15" t="n"/>
      <c r="DH7" s="15" t="n"/>
      <c r="DI7" s="15" t="n"/>
      <c r="DJ7" s="15" t="n"/>
      <c r="DK7" s="15" t="n"/>
      <c r="DL7" s="15" t="n"/>
    </row>
    <row r="8">
      <c r="A8" s="14" t="inlineStr">
        <is>
          <t>3</t>
        </is>
      </c>
      <c r="B8" s="7" t="inlineStr">
        <is>
          <t>Adoption deed / authority to adopt</t>
        </is>
      </c>
      <c r="C8" s="15" t="n"/>
      <c r="D8" s="15" t="n"/>
      <c r="E8" s="15" t="n"/>
      <c r="F8" s="15" t="n"/>
      <c r="G8" s="15" t="n"/>
      <c r="H8" s="15" t="n"/>
      <c r="I8" s="15" t="n"/>
      <c r="J8" s="15" t="n"/>
      <c r="K8" s="15" t="n"/>
      <c r="L8" s="15" t="n"/>
      <c r="M8" s="15" t="n"/>
      <c r="N8" s="15" t="n"/>
      <c r="O8" s="15" t="n"/>
      <c r="P8" s="15" t="n"/>
      <c r="Q8" s="15" t="n"/>
      <c r="R8" s="15" t="n"/>
      <c r="S8" s="15" t="n"/>
      <c r="T8" s="15" t="n"/>
      <c r="U8" s="15" t="n"/>
      <c r="V8" s="15" t="n"/>
      <c r="W8" s="15" t="n"/>
      <c r="X8" s="15" t="n"/>
      <c r="Y8" s="15" t="n"/>
      <c r="Z8" s="15" t="n"/>
      <c r="AA8" s="15" t="n"/>
      <c r="AB8" s="15" t="n"/>
      <c r="AC8" s="15" t="n"/>
      <c r="AD8" s="15" t="n"/>
      <c r="AE8" s="15" t="n"/>
      <c r="AF8" s="15" t="n"/>
      <c r="AG8" s="15" t="n"/>
      <c r="AH8" s="15" t="n"/>
      <c r="AI8" s="15" t="n"/>
      <c r="AJ8" s="15" t="n"/>
      <c r="AK8" s="15" t="n"/>
      <c r="AL8" s="15" t="n"/>
      <c r="AM8" s="15" t="n"/>
      <c r="AN8" s="15" t="n"/>
      <c r="AO8" s="15" t="n"/>
      <c r="AP8" s="15" t="n"/>
      <c r="AQ8" s="15" t="n"/>
      <c r="AR8" s="15" t="n"/>
      <c r="AS8" s="15" t="n"/>
      <c r="AT8" s="15" t="n"/>
      <c r="AU8" s="15" t="n"/>
      <c r="AV8" s="15" t="n"/>
      <c r="AW8" s="15" t="n"/>
      <c r="AX8" s="15" t="n"/>
      <c r="AY8" s="15" t="n"/>
      <c r="AZ8" s="15" t="n"/>
      <c r="BA8" s="15" t="n"/>
      <c r="BB8" s="15" t="n"/>
      <c r="BC8" s="15" t="n"/>
      <c r="BD8" s="15" t="n"/>
      <c r="BE8" s="15" t="n"/>
      <c r="BF8" s="15" t="n"/>
      <c r="BG8" s="15" t="n"/>
      <c r="BH8" s="15" t="n"/>
      <c r="BI8" s="15" t="n"/>
      <c r="BJ8" s="15" t="n"/>
      <c r="BK8" s="15" t="n"/>
      <c r="BL8" s="15" t="n"/>
      <c r="BM8" s="15" t="n"/>
      <c r="BN8" s="15" t="n"/>
      <c r="BO8" s="15" t="n"/>
      <c r="BP8" s="15" t="n"/>
      <c r="BQ8" s="15" t="n"/>
      <c r="BR8" s="15" t="n"/>
      <c r="BS8" s="15" t="n"/>
      <c r="BT8" s="15" t="n"/>
      <c r="BU8" s="15" t="n"/>
      <c r="BV8" s="15" t="n"/>
      <c r="BW8" s="15" t="n"/>
      <c r="BX8" s="15" t="n"/>
      <c r="BY8" s="15" t="n"/>
      <c r="BZ8" s="15" t="n"/>
      <c r="CA8" s="15" t="n"/>
      <c r="CB8" s="15" t="n"/>
      <c r="CC8" s="15" t="n"/>
      <c r="CD8" s="15" t="n"/>
      <c r="CE8" s="15" t="n"/>
      <c r="CF8" s="15" t="n"/>
      <c r="CG8" s="15" t="n"/>
      <c r="CH8" s="15" t="n"/>
      <c r="CI8" s="15" t="n"/>
      <c r="CJ8" s="15" t="n"/>
      <c r="CK8" s="15" t="n"/>
      <c r="CL8" s="15" t="n"/>
      <c r="CM8" s="15" t="n"/>
      <c r="CN8" s="15" t="n"/>
      <c r="CO8" s="15" t="n"/>
      <c r="CP8" s="15" t="n"/>
      <c r="CQ8" s="15" t="n"/>
      <c r="CR8" s="15" t="n"/>
      <c r="CS8" s="15" t="n"/>
      <c r="CT8" s="15" t="n"/>
      <c r="CU8" s="15" t="n"/>
      <c r="CV8" s="15" t="n"/>
      <c r="CW8" s="15" t="n"/>
      <c r="CX8" s="15" t="n"/>
      <c r="CY8" s="15" t="n"/>
      <c r="CZ8" s="15" t="n"/>
      <c r="DA8" s="15" t="n"/>
      <c r="DB8" s="15" t="n"/>
      <c r="DC8" s="15" t="n"/>
      <c r="DD8" s="15" t="n"/>
      <c r="DE8" s="15" t="n"/>
      <c r="DF8" s="15" t="n"/>
      <c r="DG8" s="15" t="n"/>
      <c r="DH8" s="15" t="n"/>
      <c r="DI8" s="15" t="n"/>
      <c r="DJ8" s="15" t="n"/>
      <c r="DK8" s="15" t="n"/>
      <c r="DL8" s="15" t="n"/>
    </row>
    <row r="9">
      <c r="A9" s="14" t="inlineStr">
        <is>
          <t>4</t>
        </is>
      </c>
      <c r="B9" s="7" t="inlineStr">
        <is>
          <t>Affidavit / affirmation / declaration</t>
        </is>
      </c>
      <c r="C9" s="15" t="n"/>
      <c r="D9" s="15" t="n"/>
      <c r="E9" s="15" t="n"/>
      <c r="F9" s="15" t="n"/>
      <c r="G9" s="15" t="n"/>
      <c r="H9" s="15" t="n"/>
      <c r="I9" s="18" t="inlineStr">
        <is>
          <t>E</t>
        </is>
      </c>
      <c r="J9" s="15" t="n"/>
      <c r="K9" s="15" t="n"/>
      <c r="L9" s="15" t="n"/>
      <c r="M9" s="15" t="n"/>
      <c r="N9" s="15" t="n"/>
      <c r="O9" s="15" t="n"/>
      <c r="P9" s="15" t="n"/>
      <c r="Q9" s="15" t="n"/>
      <c r="R9" s="15" t="n"/>
      <c r="S9" s="15" t="n"/>
      <c r="T9" s="15" t="n"/>
      <c r="U9" s="15" t="n"/>
      <c r="V9" s="15" t="n"/>
      <c r="W9" s="15" t="n"/>
      <c r="X9" s="15" t="n"/>
      <c r="Y9" s="15" t="n"/>
      <c r="Z9" s="15" t="n"/>
      <c r="AA9" s="15" t="n"/>
      <c r="AB9" s="15" t="n"/>
      <c r="AC9" s="15" t="n"/>
      <c r="AD9" s="15" t="n"/>
      <c r="AE9" s="15" t="n"/>
      <c r="AF9" s="15" t="n"/>
      <c r="AG9" s="15" t="n"/>
      <c r="AH9" s="15" t="n"/>
      <c r="AI9" s="15" t="n"/>
      <c r="AJ9" s="15" t="n"/>
      <c r="AK9" s="15" t="n"/>
      <c r="AL9" s="15" t="n"/>
      <c r="AM9" s="15" t="n"/>
      <c r="AN9" s="15" t="n"/>
      <c r="AO9" s="15" t="n"/>
      <c r="AP9" s="15" t="n"/>
      <c r="AQ9" s="15" t="n"/>
      <c r="AR9" s="15" t="n"/>
      <c r="AS9" s="15" t="n"/>
      <c r="AT9" s="15" t="n"/>
      <c r="AU9" s="15" t="n"/>
      <c r="AV9" s="15" t="n"/>
      <c r="AW9" s="15" t="n"/>
      <c r="AX9" s="15" t="n"/>
      <c r="AY9" s="15" t="n"/>
      <c r="AZ9" s="15" t="n"/>
      <c r="BA9" s="15" t="n"/>
      <c r="BB9" s="15" t="n"/>
      <c r="BC9" s="15" t="n"/>
      <c r="BD9" s="15" t="n"/>
      <c r="BE9" s="15" t="n"/>
      <c r="BF9" s="15" t="n"/>
      <c r="BG9" s="15" t="n"/>
      <c r="BH9" s="15" t="n"/>
      <c r="BI9" s="15" t="n"/>
      <c r="BJ9" s="15" t="n"/>
      <c r="BK9" s="15" t="n"/>
      <c r="BL9" s="15" t="n"/>
      <c r="BM9" s="15" t="n"/>
      <c r="BN9" s="15" t="n"/>
      <c r="BO9" s="15" t="n"/>
      <c r="BP9" s="15" t="n"/>
      <c r="BQ9" s="15" t="n"/>
      <c r="BR9" s="15" t="n"/>
      <c r="BS9" s="15" t="n"/>
      <c r="BT9" s="15" t="n"/>
      <c r="BU9" s="15" t="n"/>
      <c r="BV9" s="15" t="n"/>
      <c r="BW9" s="15" t="n"/>
      <c r="BX9" s="15" t="n"/>
      <c r="BY9" s="15" t="n"/>
      <c r="BZ9" s="15" t="n"/>
      <c r="CA9" s="15" t="n"/>
      <c r="CB9" s="15" t="n"/>
      <c r="CC9" s="15" t="n"/>
      <c r="CD9" s="15" t="n"/>
      <c r="CE9" s="15" t="n"/>
      <c r="CF9" s="15" t="n"/>
      <c r="CG9" s="15" t="n"/>
      <c r="CH9" s="15" t="n"/>
      <c r="CI9" s="15" t="n"/>
      <c r="CJ9" s="15" t="n"/>
      <c r="CK9" s="15" t="n"/>
      <c r="CL9" s="15" t="n"/>
      <c r="CM9" s="15" t="n"/>
      <c r="CN9" s="15" t="n"/>
      <c r="CO9" s="15" t="n"/>
      <c r="CP9" s="15" t="n"/>
      <c r="CQ9" s="15" t="n"/>
      <c r="CR9" s="15" t="n"/>
      <c r="CS9" s="15" t="n"/>
      <c r="CT9" s="15" t="n"/>
      <c r="CU9" s="15" t="n"/>
      <c r="CV9" s="15" t="n"/>
      <c r="CW9" s="15" t="n"/>
      <c r="CX9" s="15" t="n"/>
      <c r="CY9" s="15" t="n"/>
      <c r="CZ9" s="15" t="n"/>
      <c r="DA9" s="17" t="inlineStr">
        <is>
          <t>I</t>
        </is>
      </c>
      <c r="DB9" s="15" t="n"/>
      <c r="DC9" s="15" t="n"/>
      <c r="DD9" s="15" t="n"/>
      <c r="DE9" s="15" t="n"/>
      <c r="DF9" s="15" t="n"/>
      <c r="DG9" s="15" t="n"/>
      <c r="DH9" s="15" t="n"/>
      <c r="DI9" s="15" t="n"/>
      <c r="DJ9" s="15" t="n"/>
      <c r="DK9" s="15" t="n"/>
      <c r="DL9" s="15" t="n"/>
    </row>
    <row r="10">
      <c r="A10" s="14" t="inlineStr">
        <is>
          <t>5(a)</t>
        </is>
      </c>
      <c r="B10" s="7" t="inlineStr">
        <is>
          <t>Agreement - sale of bill of exchange</t>
        </is>
      </c>
      <c r="C10" s="15" t="n"/>
      <c r="D10" s="15" t="n"/>
      <c r="E10" s="15" t="n"/>
      <c r="F10" s="15" t="n"/>
      <c r="G10" s="15" t="n"/>
      <c r="H10" s="15" t="n"/>
      <c r="I10" s="15" t="n"/>
      <c r="J10" s="15" t="n"/>
      <c r="K10" s="15" t="n"/>
      <c r="L10" s="15" t="n"/>
      <c r="M10" s="15" t="n"/>
      <c r="N10" s="15" t="n"/>
      <c r="O10" s="15" t="n"/>
      <c r="P10" s="15" t="n"/>
      <c r="Q10" s="15" t="n"/>
      <c r="R10" s="15" t="n"/>
      <c r="S10" s="15" t="n"/>
      <c r="T10" s="17" t="inlineStr">
        <is>
          <t>I</t>
        </is>
      </c>
      <c r="U10" s="15" t="n"/>
      <c r="V10" s="15" t="n"/>
      <c r="W10" s="15" t="n"/>
      <c r="X10" s="15" t="n"/>
      <c r="Y10" s="15" t="n"/>
      <c r="Z10" s="15" t="n"/>
      <c r="AA10" s="19" t="inlineStr">
        <is>
          <t>C</t>
        </is>
      </c>
      <c r="AB10" s="15" t="n"/>
      <c r="AC10" s="15" t="n"/>
      <c r="AD10" s="15" t="n"/>
      <c r="AE10" s="15" t="n"/>
      <c r="AF10" s="15" t="n"/>
      <c r="AG10" s="15" t="n"/>
      <c r="AH10" s="15" t="n"/>
      <c r="AI10" s="15" t="n"/>
      <c r="AJ10" s="15" t="n"/>
      <c r="AK10" s="15" t="n"/>
      <c r="AL10" s="15" t="n"/>
      <c r="AM10" s="15" t="n"/>
      <c r="AN10" s="15" t="n"/>
      <c r="AO10" s="15" t="n"/>
      <c r="AP10" s="15" t="n"/>
      <c r="AQ10" s="15" t="n"/>
      <c r="AR10" s="15" t="n"/>
      <c r="AS10" s="15" t="n"/>
      <c r="AT10" s="15" t="n"/>
      <c r="AU10" s="15" t="n"/>
      <c r="AV10" s="15" t="n"/>
      <c r="AW10" s="15" t="n"/>
      <c r="AX10" s="15" t="n"/>
      <c r="AY10" s="15" t="n"/>
      <c r="AZ10" s="15" t="n"/>
      <c r="BA10" s="15" t="n"/>
      <c r="BB10" s="15" t="n"/>
      <c r="BC10" s="15" t="n"/>
      <c r="BD10" s="15" t="n"/>
      <c r="BE10" s="15" t="n"/>
      <c r="BF10" s="15" t="n"/>
      <c r="BG10" s="15" t="n"/>
      <c r="BH10" s="15" t="n"/>
      <c r="BI10" s="15" t="n"/>
      <c r="BJ10" s="15" t="n"/>
      <c r="BK10" s="15" t="n"/>
      <c r="BL10" s="15" t="n"/>
      <c r="BM10" s="15" t="n"/>
      <c r="BN10" s="15" t="n"/>
      <c r="BO10" s="15" t="n"/>
      <c r="BP10" s="15" t="n"/>
      <c r="BQ10" s="15" t="n"/>
      <c r="BR10" s="15" t="n"/>
      <c r="BS10" s="15" t="n"/>
      <c r="BT10" s="15" t="n"/>
      <c r="BU10" s="15" t="n"/>
      <c r="BV10" s="15" t="n"/>
      <c r="BW10" s="15" t="n"/>
      <c r="BX10" s="15" t="n"/>
      <c r="BY10" s="15" t="n"/>
      <c r="BZ10" s="15" t="n"/>
      <c r="CA10" s="15" t="n"/>
      <c r="CB10" s="15" t="n"/>
      <c r="CC10" s="15" t="n"/>
      <c r="CD10" s="15" t="n"/>
      <c r="CE10" s="15" t="n"/>
      <c r="CF10" s="15" t="n"/>
      <c r="CG10" s="15" t="n"/>
      <c r="CH10" s="15" t="n"/>
      <c r="CI10" s="15" t="n"/>
      <c r="CJ10" s="15" t="n"/>
      <c r="CK10" s="15" t="n"/>
      <c r="CL10" s="15" t="n"/>
      <c r="CM10" s="15" t="n"/>
      <c r="CN10" s="15" t="n"/>
      <c r="CO10" s="15" t="n"/>
      <c r="CP10" s="15" t="n"/>
      <c r="CQ10" s="15" t="n"/>
      <c r="CR10" s="15" t="n"/>
      <c r="CS10" s="15" t="n"/>
      <c r="CT10" s="15" t="n"/>
      <c r="CU10" s="15" t="n"/>
      <c r="CV10" s="15" t="n"/>
      <c r="CW10" s="15" t="n"/>
      <c r="CX10" s="15" t="n"/>
      <c r="CY10" s="15" t="n"/>
      <c r="CZ10" s="15" t="n"/>
      <c r="DA10" s="15" t="n"/>
      <c r="DB10" s="15" t="n"/>
      <c r="DC10" s="15" t="n"/>
      <c r="DD10" s="15" t="n"/>
      <c r="DE10" s="15" t="n"/>
      <c r="DF10" s="15" t="n"/>
      <c r="DG10" s="15" t="n"/>
      <c r="DH10" s="15" t="n"/>
      <c r="DI10" s="15" t="n"/>
      <c r="DJ10" s="15" t="n"/>
      <c r="DK10" s="15" t="n"/>
      <c r="DL10" s="15" t="n"/>
    </row>
    <row r="11">
      <c r="A11" s="14" t="inlineStr">
        <is>
          <t>5(b)</t>
        </is>
      </c>
      <c r="B11" s="7" t="inlineStr">
        <is>
          <t>Agreement - purchase / sale of Government security</t>
        </is>
      </c>
      <c r="C11" s="15" t="n"/>
      <c r="D11" s="15" t="n"/>
      <c r="E11" s="15" t="n"/>
      <c r="F11" s="15" t="n"/>
      <c r="G11" s="15" t="n"/>
      <c r="H11" s="15" t="n"/>
      <c r="I11" s="15" t="n"/>
      <c r="J11" s="15" t="n"/>
      <c r="K11" s="15" t="n"/>
      <c r="L11" s="15" t="n"/>
      <c r="M11" s="15" t="n"/>
      <c r="N11" s="15" t="n"/>
      <c r="O11" s="15" t="n"/>
      <c r="P11" s="15" t="n"/>
      <c r="Q11" s="15" t="n"/>
      <c r="R11" s="15" t="n"/>
      <c r="S11" s="15" t="n"/>
      <c r="T11" s="17" t="inlineStr">
        <is>
          <t>I</t>
        </is>
      </c>
      <c r="U11" s="15" t="n"/>
      <c r="V11" s="15" t="n"/>
      <c r="W11" s="15" t="n"/>
      <c r="X11" s="15" t="n"/>
      <c r="Y11" s="15" t="n"/>
      <c r="Z11" s="15" t="n"/>
      <c r="AA11" s="19" t="inlineStr">
        <is>
          <t>C</t>
        </is>
      </c>
      <c r="AB11" s="15" t="n"/>
      <c r="AC11" s="15" t="n"/>
      <c r="AD11" s="15" t="n"/>
      <c r="AE11" s="15" t="n"/>
      <c r="AF11" s="15" t="n"/>
      <c r="AG11" s="15" t="n"/>
      <c r="AH11" s="15" t="n"/>
      <c r="AI11" s="15" t="n"/>
      <c r="AJ11" s="15" t="n"/>
      <c r="AK11" s="15" t="n"/>
      <c r="AL11" s="15" t="n"/>
      <c r="AM11" s="15" t="n"/>
      <c r="AN11" s="15" t="n"/>
      <c r="AO11" s="15" t="n"/>
      <c r="AP11" s="15" t="n"/>
      <c r="AQ11" s="15" t="n"/>
      <c r="AR11" s="15" t="n"/>
      <c r="AS11" s="15" t="n"/>
      <c r="AT11" s="15" t="n"/>
      <c r="AU11" s="15" t="n"/>
      <c r="AV11" s="15" t="n"/>
      <c r="AW11" s="15" t="n"/>
      <c r="AX11" s="15" t="n"/>
      <c r="AY11" s="15" t="n"/>
      <c r="AZ11" s="15" t="n"/>
      <c r="BA11" s="15" t="n"/>
      <c r="BB11" s="15" t="n"/>
      <c r="BC11" s="15" t="n"/>
      <c r="BD11" s="15" t="n"/>
      <c r="BE11" s="15" t="n"/>
      <c r="BF11" s="15" t="n"/>
      <c r="BG11" s="15" t="n"/>
      <c r="BH11" s="15" t="n"/>
      <c r="BI11" s="15" t="n"/>
      <c r="BJ11" s="15" t="n"/>
      <c r="BK11" s="15" t="n"/>
      <c r="BL11" s="15" t="n"/>
      <c r="BM11" s="15" t="n"/>
      <c r="BN11" s="15" t="n"/>
      <c r="BO11" s="15" t="n"/>
      <c r="BP11" s="15" t="n"/>
      <c r="BQ11" s="15" t="n"/>
      <c r="BR11" s="15" t="n"/>
      <c r="BS11" s="15" t="n"/>
      <c r="BT11" s="15" t="n"/>
      <c r="BU11" s="15" t="n"/>
      <c r="BV11" s="15" t="n"/>
      <c r="BW11" s="15" t="n"/>
      <c r="BX11" s="15" t="n"/>
      <c r="BY11" s="15" t="n"/>
      <c r="BZ11" s="15" t="n"/>
      <c r="CA11" s="15" t="n"/>
      <c r="CB11" s="15" t="n"/>
      <c r="CC11" s="15" t="n"/>
      <c r="CD11" s="15" t="n"/>
      <c r="CE11" s="15" t="n"/>
      <c r="CF11" s="15" t="n"/>
      <c r="CG11" s="15" t="n"/>
      <c r="CH11" s="15" t="n"/>
      <c r="CI11" s="15" t="n"/>
      <c r="CJ11" s="15" t="n"/>
      <c r="CK11" s="15" t="n"/>
      <c r="CL11" s="15" t="n"/>
      <c r="CM11" s="15" t="n"/>
      <c r="CN11" s="15" t="n"/>
      <c r="CO11" s="15" t="n"/>
      <c r="CP11" s="15" t="n"/>
      <c r="CQ11" s="15" t="n"/>
      <c r="CR11" s="15" t="n"/>
      <c r="CS11" s="15" t="n"/>
      <c r="CT11" s="15" t="n"/>
      <c r="CU11" s="15" t="n"/>
      <c r="CV11" s="15" t="n"/>
      <c r="CW11" s="15" t="n"/>
      <c r="CX11" s="15" t="n"/>
      <c r="CY11" s="15" t="n"/>
      <c r="CZ11" s="15" t="n"/>
      <c r="DA11" s="15" t="n"/>
      <c r="DB11" s="15" t="n"/>
      <c r="DC11" s="15" t="n"/>
      <c r="DD11" s="15" t="n"/>
      <c r="DE11" s="15" t="n"/>
      <c r="DF11" s="15" t="n"/>
      <c r="DG11" s="15" t="n"/>
      <c r="DH11" s="15" t="n"/>
      <c r="DI11" s="15" t="n"/>
      <c r="DJ11" s="15" t="n"/>
      <c r="DK11" s="15" t="n"/>
      <c r="DL11" s="15" t="n"/>
    </row>
    <row r="12">
      <c r="A12" s="14" t="inlineStr">
        <is>
          <t>5(c)(i)</t>
        </is>
      </c>
      <c r="B12" s="7" t="inlineStr">
        <is>
          <t>Agreement - shares / marketable securities via recognised stock exchange member</t>
        </is>
      </c>
      <c r="C12" s="15" t="n"/>
      <c r="D12" s="15" t="n"/>
      <c r="E12" s="15" t="n"/>
      <c r="F12" s="15" t="n"/>
      <c r="G12" s="15" t="n"/>
      <c r="H12" s="15" t="n"/>
      <c r="I12" s="15" t="n"/>
      <c r="J12" s="15" t="n"/>
      <c r="K12" s="15" t="n"/>
      <c r="L12" s="15" t="n"/>
      <c r="M12" s="15" t="n"/>
      <c r="N12" s="15" t="n"/>
      <c r="O12" s="15" t="n"/>
      <c r="P12" s="15" t="n"/>
      <c r="Q12" s="15" t="n"/>
      <c r="R12" s="15" t="n"/>
      <c r="S12" s="15" t="n"/>
      <c r="T12" s="17" t="inlineStr">
        <is>
          <t>I</t>
        </is>
      </c>
      <c r="U12" s="15" t="n"/>
      <c r="V12" s="15" t="n"/>
      <c r="W12" s="15" t="n"/>
      <c r="X12" s="15" t="n"/>
      <c r="Y12" s="15" t="n"/>
      <c r="Z12" s="17" t="inlineStr">
        <is>
          <t>I</t>
        </is>
      </c>
      <c r="AA12" s="19" t="inlineStr">
        <is>
          <t>C</t>
        </is>
      </c>
      <c r="AB12" s="15" t="n"/>
      <c r="AC12" s="15" t="n"/>
      <c r="AD12" s="15" t="n"/>
      <c r="AE12" s="15" t="n"/>
      <c r="AF12" s="15" t="n"/>
      <c r="AG12" s="15" t="n"/>
      <c r="AH12" s="15" t="n"/>
      <c r="AI12" s="15" t="n"/>
      <c r="AJ12" s="15" t="n"/>
      <c r="AK12" s="15" t="n"/>
      <c r="AL12" s="15" t="n"/>
      <c r="AM12" s="15" t="n"/>
      <c r="AN12" s="15" t="n"/>
      <c r="AO12" s="15" t="n"/>
      <c r="AP12" s="15" t="n"/>
      <c r="AQ12" s="15" t="n"/>
      <c r="AR12" s="15" t="n"/>
      <c r="AS12" s="15" t="n"/>
      <c r="AT12" s="15" t="n"/>
      <c r="AU12" s="15" t="n"/>
      <c r="AV12" s="15" t="n"/>
      <c r="AW12" s="15" t="n"/>
      <c r="AX12" s="15" t="n"/>
      <c r="AY12" s="15" t="n"/>
      <c r="AZ12" s="15" t="n"/>
      <c r="BA12" s="15" t="n"/>
      <c r="BB12" s="15" t="n"/>
      <c r="BC12" s="15" t="n"/>
      <c r="BD12" s="15" t="n"/>
      <c r="BE12" s="15" t="n"/>
      <c r="BF12" s="15" t="n"/>
      <c r="BG12" s="15" t="n"/>
      <c r="BH12" s="15" t="n"/>
      <c r="BI12" s="15" t="n"/>
      <c r="BJ12" s="15" t="n"/>
      <c r="BK12" s="15" t="n"/>
      <c r="BL12" s="15" t="n"/>
      <c r="BM12" s="15" t="n"/>
      <c r="BN12" s="15" t="n"/>
      <c r="BO12" s="15" t="n"/>
      <c r="BP12" s="15" t="n"/>
      <c r="BQ12" s="15" t="n"/>
      <c r="BR12" s="15" t="n"/>
      <c r="BS12" s="15" t="n"/>
      <c r="BT12" s="15" t="n"/>
      <c r="BU12" s="15" t="n"/>
      <c r="BV12" s="15" t="n"/>
      <c r="BW12" s="15" t="n"/>
      <c r="BX12" s="15" t="n"/>
      <c r="BY12" s="15" t="n"/>
      <c r="BZ12" s="15" t="n"/>
      <c r="CA12" s="15" t="n"/>
      <c r="CB12" s="15" t="n"/>
      <c r="CC12" s="15" t="n"/>
      <c r="CD12" s="15" t="n"/>
      <c r="CE12" s="15" t="n"/>
      <c r="CF12" s="15" t="n"/>
      <c r="CG12" s="15" t="n"/>
      <c r="CH12" s="15" t="n"/>
      <c r="CI12" s="15" t="n"/>
      <c r="CJ12" s="15" t="n"/>
      <c r="CK12" s="15" t="n"/>
      <c r="CL12" s="15" t="n"/>
      <c r="CM12" s="15" t="n"/>
      <c r="CN12" s="15" t="n"/>
      <c r="CO12" s="15" t="n"/>
      <c r="CP12" s="15" t="n"/>
      <c r="CQ12" s="15" t="n"/>
      <c r="CR12" s="15" t="n"/>
      <c r="CS12" s="15" t="n"/>
      <c r="CT12" s="15" t="n"/>
      <c r="CU12" s="15" t="n"/>
      <c r="CV12" s="15" t="n"/>
      <c r="CW12" s="15" t="n"/>
      <c r="CX12" s="15" t="n"/>
      <c r="CY12" s="15" t="n"/>
      <c r="CZ12" s="15" t="n"/>
      <c r="DA12" s="15" t="n"/>
      <c r="DB12" s="15" t="n"/>
      <c r="DC12" s="15" t="n"/>
      <c r="DD12" s="15" t="n"/>
      <c r="DE12" s="15" t="n"/>
      <c r="DF12" s="15" t="n"/>
      <c r="DG12" s="15" t="n"/>
      <c r="DH12" s="15" t="n"/>
      <c r="DI12" s="15" t="n"/>
      <c r="DJ12" s="15" t="n"/>
      <c r="DK12" s="15" t="n"/>
      <c r="DL12" s="15" t="n"/>
    </row>
    <row r="13">
      <c r="A13" s="14" t="inlineStr">
        <is>
          <t>5(c)(ii)</t>
        </is>
      </c>
      <c r="B13" s="7" t="inlineStr">
        <is>
          <t>Agreement - shares / marketable securities (other case)</t>
        </is>
      </c>
      <c r="C13" s="15" t="n"/>
      <c r="D13" s="15" t="n"/>
      <c r="E13" s="15" t="n"/>
      <c r="F13" s="15" t="n"/>
      <c r="G13" s="15" t="n"/>
      <c r="H13" s="15" t="n"/>
      <c r="I13" s="15" t="n"/>
      <c r="J13" s="15" t="n"/>
      <c r="K13" s="15" t="n"/>
      <c r="L13" s="15" t="n"/>
      <c r="M13" s="15" t="n"/>
      <c r="N13" s="15" t="n"/>
      <c r="O13" s="15" t="n"/>
      <c r="P13" s="15" t="n"/>
      <c r="Q13" s="15" t="n"/>
      <c r="R13" s="15" t="n"/>
      <c r="S13" s="15" t="n"/>
      <c r="T13" s="17" t="inlineStr">
        <is>
          <t>I</t>
        </is>
      </c>
      <c r="U13" s="15" t="n"/>
      <c r="V13" s="15" t="n"/>
      <c r="W13" s="15" t="n"/>
      <c r="X13" s="15" t="n"/>
      <c r="Y13" s="15" t="n"/>
      <c r="Z13" s="17" t="inlineStr">
        <is>
          <t>I</t>
        </is>
      </c>
      <c r="AA13" s="19" t="inlineStr">
        <is>
          <t>C</t>
        </is>
      </c>
      <c r="AB13" s="15" t="n"/>
      <c r="AC13" s="15" t="n"/>
      <c r="AD13" s="15" t="n"/>
      <c r="AE13" s="15" t="n"/>
      <c r="AF13" s="15" t="n"/>
      <c r="AG13" s="15" t="n"/>
      <c r="AH13" s="15" t="n"/>
      <c r="AI13" s="15" t="n"/>
      <c r="AJ13" s="15" t="n"/>
      <c r="AK13" s="15" t="n"/>
      <c r="AL13" s="15" t="n"/>
      <c r="AM13" s="15" t="n"/>
      <c r="AN13" s="15" t="n"/>
      <c r="AO13" s="15" t="n"/>
      <c r="AP13" s="15" t="n"/>
      <c r="AQ13" s="15" t="n"/>
      <c r="AR13" s="15" t="n"/>
      <c r="AS13" s="15" t="n"/>
      <c r="AT13" s="15" t="n"/>
      <c r="AU13" s="15" t="n"/>
      <c r="AV13" s="15" t="n"/>
      <c r="AW13" s="15" t="n"/>
      <c r="AX13" s="15" t="n"/>
      <c r="AY13" s="15" t="n"/>
      <c r="AZ13" s="15" t="n"/>
      <c r="BA13" s="15" t="n"/>
      <c r="BB13" s="15" t="n"/>
      <c r="BC13" s="15" t="n"/>
      <c r="BD13" s="15" t="n"/>
      <c r="BE13" s="15" t="n"/>
      <c r="BF13" s="15" t="n"/>
      <c r="BG13" s="15" t="n"/>
      <c r="BH13" s="15" t="n"/>
      <c r="BI13" s="15" t="n"/>
      <c r="BJ13" s="15" t="n"/>
      <c r="BK13" s="15" t="n"/>
      <c r="BL13" s="15" t="n"/>
      <c r="BM13" s="15" t="n"/>
      <c r="BN13" s="15" t="n"/>
      <c r="BO13" s="15" t="n"/>
      <c r="BP13" s="15" t="n"/>
      <c r="BQ13" s="15" t="n"/>
      <c r="BR13" s="15" t="n"/>
      <c r="BS13" s="15" t="n"/>
      <c r="BT13" s="15" t="n"/>
      <c r="BU13" s="15" t="n"/>
      <c r="BV13" s="15" t="n"/>
      <c r="BW13" s="15" t="n"/>
      <c r="BX13" s="15" t="n"/>
      <c r="BY13" s="15" t="n"/>
      <c r="BZ13" s="15" t="n"/>
      <c r="CA13" s="15" t="n"/>
      <c r="CB13" s="15" t="n"/>
      <c r="CC13" s="15" t="n"/>
      <c r="CD13" s="15" t="n"/>
      <c r="CE13" s="15" t="n"/>
      <c r="CF13" s="15" t="n"/>
      <c r="CG13" s="15" t="n"/>
      <c r="CH13" s="15" t="n"/>
      <c r="CI13" s="15" t="n"/>
      <c r="CJ13" s="15" t="n"/>
      <c r="CK13" s="15" t="n"/>
      <c r="CL13" s="15" t="n"/>
      <c r="CM13" s="15" t="n"/>
      <c r="CN13" s="15" t="n"/>
      <c r="CO13" s="15" t="n"/>
      <c r="CP13" s="15" t="n"/>
      <c r="CQ13" s="15" t="n"/>
      <c r="CR13" s="15" t="n"/>
      <c r="CS13" s="15" t="n"/>
      <c r="CT13" s="15" t="n"/>
      <c r="CU13" s="15" t="n"/>
      <c r="CV13" s="15" t="n"/>
      <c r="CW13" s="15" t="n"/>
      <c r="CX13" s="15" t="n"/>
      <c r="CY13" s="15" t="n"/>
      <c r="CZ13" s="15" t="n"/>
      <c r="DA13" s="15" t="n"/>
      <c r="DB13" s="15" t="n"/>
      <c r="DC13" s="15" t="n"/>
      <c r="DD13" s="15" t="n"/>
      <c r="DE13" s="15" t="n"/>
      <c r="DF13" s="15" t="n"/>
      <c r="DG13" s="15" t="n"/>
      <c r="DH13" s="15" t="n"/>
      <c r="DI13" s="15" t="n"/>
      <c r="DJ13" s="15" t="n"/>
      <c r="DK13" s="15" t="n"/>
      <c r="DL13" s="15" t="n"/>
    </row>
    <row r="14">
      <c r="A14" s="14" t="inlineStr">
        <is>
          <t>5(d)</t>
        </is>
      </c>
      <c r="B14" s="7" t="inlineStr">
        <is>
          <t>Lease-cum-sale allotment by authority</t>
        </is>
      </c>
      <c r="C14" s="15" t="n"/>
      <c r="D14" s="15" t="n"/>
      <c r="E14" s="15" t="n"/>
      <c r="F14" s="15" t="n"/>
      <c r="G14" s="15" t="n"/>
      <c r="H14" s="15" t="n"/>
      <c r="I14" s="15" t="n"/>
      <c r="J14" s="15" t="n"/>
      <c r="K14" s="15" t="n"/>
      <c r="L14" s="15" t="n"/>
      <c r="M14" s="15" t="n"/>
      <c r="N14" s="15" t="n"/>
      <c r="O14" s="15" t="n"/>
      <c r="P14" s="15" t="n"/>
      <c r="Q14" s="15" t="n"/>
      <c r="R14" s="15" t="n"/>
      <c r="S14" s="15" t="n"/>
      <c r="T14" s="17" t="inlineStr">
        <is>
          <t>I</t>
        </is>
      </c>
      <c r="U14" s="15" t="n"/>
      <c r="V14" s="15" t="n"/>
      <c r="W14" s="17" t="inlineStr">
        <is>
          <t>I</t>
        </is>
      </c>
      <c r="X14" s="19" t="inlineStr">
        <is>
          <t>C</t>
        </is>
      </c>
      <c r="Y14" s="19" t="inlineStr">
        <is>
          <t>C</t>
        </is>
      </c>
      <c r="Z14" s="15" t="n"/>
      <c r="AA14" s="15" t="n"/>
      <c r="AB14" s="15" t="n"/>
      <c r="AC14" s="15" t="n"/>
      <c r="AD14" s="15" t="n"/>
      <c r="AE14" s="15" t="n"/>
      <c r="AF14" s="15" t="n"/>
      <c r="AG14" s="15" t="n"/>
      <c r="AH14" s="15" t="n"/>
      <c r="AI14" s="15" t="n"/>
      <c r="AJ14" s="15" t="n"/>
      <c r="AK14" s="15" t="n"/>
      <c r="AL14" s="15" t="n"/>
      <c r="AM14" s="15" t="n"/>
      <c r="AN14" s="15" t="n"/>
      <c r="AO14" s="15" t="n"/>
      <c r="AP14" s="15" t="n"/>
      <c r="AQ14" s="15" t="n"/>
      <c r="AR14" s="15" t="n"/>
      <c r="AS14" s="15" t="n"/>
      <c r="AT14" s="15" t="n"/>
      <c r="AU14" s="15" t="n"/>
      <c r="AV14" s="15" t="n"/>
      <c r="AW14" s="15" t="n"/>
      <c r="AX14" s="15" t="n"/>
      <c r="AY14" s="15" t="n"/>
      <c r="AZ14" s="15" t="n"/>
      <c r="BA14" s="15" t="n"/>
      <c r="BB14" s="15" t="n"/>
      <c r="BC14" s="15" t="n"/>
      <c r="BD14" s="15" t="n"/>
      <c r="BE14" s="15" t="n"/>
      <c r="BF14" s="15" t="n"/>
      <c r="BG14" s="15" t="n"/>
      <c r="BH14" s="15" t="n"/>
      <c r="BI14" s="15" t="n"/>
      <c r="BJ14" s="15" t="n"/>
      <c r="BK14" s="15" t="n"/>
      <c r="BL14" s="15" t="n"/>
      <c r="BM14" s="15" t="n"/>
      <c r="BN14" s="15" t="n"/>
      <c r="BO14" s="15" t="n"/>
      <c r="BP14" s="15" t="n"/>
      <c r="BQ14" s="15" t="n"/>
      <c r="BR14" s="15" t="n"/>
      <c r="BS14" s="15" t="n"/>
      <c r="BT14" s="15" t="n"/>
      <c r="BU14" s="15" t="n"/>
      <c r="BV14" s="15" t="n"/>
      <c r="BW14" s="15" t="n"/>
      <c r="BX14" s="15" t="n"/>
      <c r="BY14" s="15" t="n"/>
      <c r="BZ14" s="15" t="n"/>
      <c r="CA14" s="15" t="n"/>
      <c r="CB14" s="15" t="n"/>
      <c r="CC14" s="15" t="n"/>
      <c r="CD14" s="15" t="n"/>
      <c r="CE14" s="15" t="n"/>
      <c r="CF14" s="15" t="n"/>
      <c r="CG14" s="15" t="n"/>
      <c r="CH14" s="15" t="n"/>
      <c r="CI14" s="15" t="n"/>
      <c r="CJ14" s="15" t="n"/>
      <c r="CK14" s="15" t="n"/>
      <c r="CL14" s="15" t="n"/>
      <c r="CM14" s="15" t="n"/>
      <c r="CN14" s="15" t="n"/>
      <c r="CO14" s="15" t="n"/>
      <c r="CP14" s="15" t="n"/>
      <c r="CQ14" s="15" t="n"/>
      <c r="CR14" s="15" t="n"/>
      <c r="CS14" s="15" t="n"/>
      <c r="CT14" s="15" t="n"/>
      <c r="CU14" s="15" t="n"/>
      <c r="CV14" s="15" t="n"/>
      <c r="CW14" s="15" t="n"/>
      <c r="CX14" s="15" t="n"/>
      <c r="CY14" s="15" t="n"/>
      <c r="CZ14" s="15" t="n"/>
      <c r="DA14" s="15" t="n"/>
      <c r="DB14" s="15" t="n"/>
      <c r="DC14" s="15" t="n"/>
      <c r="DD14" s="15" t="n"/>
      <c r="DE14" s="15" t="n"/>
      <c r="DF14" s="15" t="n"/>
      <c r="DG14" s="15" t="n"/>
      <c r="DH14" s="15" t="n"/>
      <c r="DI14" s="15" t="n"/>
      <c r="DJ14" s="15" t="n"/>
      <c r="DK14" s="15" t="n"/>
      <c r="DL14" s="15" t="n"/>
    </row>
    <row r="15">
      <c r="A15" s="14" t="inlineStr">
        <is>
          <t>5(da)</t>
        </is>
      </c>
      <c r="B15" s="7" t="inlineStr">
        <is>
          <t>Lease-cum-sale of Flat / Apartment by BDA / KHB</t>
        </is>
      </c>
      <c r="C15" s="15" t="n"/>
      <c r="D15" s="15" t="n"/>
      <c r="E15" s="15" t="n"/>
      <c r="F15" s="15" t="n"/>
      <c r="G15" s="15" t="n"/>
      <c r="H15" s="15" t="n"/>
      <c r="I15" s="15" t="n"/>
      <c r="J15" s="15" t="n"/>
      <c r="K15" s="15" t="n"/>
      <c r="L15" s="15" t="n"/>
      <c r="M15" s="15" t="n"/>
      <c r="N15" s="15" t="n"/>
      <c r="O15" s="17" t="inlineStr">
        <is>
          <t>I</t>
        </is>
      </c>
      <c r="P15" s="15" t="n"/>
      <c r="Q15" s="15" t="n"/>
      <c r="R15" s="15" t="n"/>
      <c r="S15" s="15" t="n"/>
      <c r="T15" s="17" t="inlineStr">
        <is>
          <t>I</t>
        </is>
      </c>
      <c r="U15" s="15" t="n"/>
      <c r="V15" s="15" t="n"/>
      <c r="W15" s="17" t="inlineStr">
        <is>
          <t>I</t>
        </is>
      </c>
      <c r="X15" s="19" t="inlineStr">
        <is>
          <t>C</t>
        </is>
      </c>
      <c r="Y15" s="19" t="inlineStr">
        <is>
          <t>C</t>
        </is>
      </c>
      <c r="Z15" s="15" t="n"/>
      <c r="AA15" s="15" t="n"/>
      <c r="AB15" s="15" t="n"/>
      <c r="AC15" s="15" t="n"/>
      <c r="AD15" s="15" t="n"/>
      <c r="AE15" s="15" t="n"/>
      <c r="AF15" s="15" t="n"/>
      <c r="AG15" s="15" t="n"/>
      <c r="AH15" s="15" t="n"/>
      <c r="AI15" s="15" t="n"/>
      <c r="AJ15" s="15" t="n"/>
      <c r="AK15" s="15" t="n"/>
      <c r="AL15" s="15" t="n"/>
      <c r="AM15" s="15" t="n"/>
      <c r="AN15" s="15" t="n"/>
      <c r="AO15" s="15" t="n"/>
      <c r="AP15" s="15" t="n"/>
      <c r="AQ15" s="15" t="n"/>
      <c r="AR15" s="15" t="n"/>
      <c r="AS15" s="15" t="n"/>
      <c r="AT15" s="15" t="n"/>
      <c r="AU15" s="15" t="n"/>
      <c r="AV15" s="15" t="n"/>
      <c r="AW15" s="15" t="n"/>
      <c r="AX15" s="15" t="n"/>
      <c r="AY15" s="15" t="n"/>
      <c r="AZ15" s="15" t="n"/>
      <c r="BA15" s="15" t="n"/>
      <c r="BB15" s="15" t="n"/>
      <c r="BC15" s="15" t="n"/>
      <c r="BD15" s="15" t="n"/>
      <c r="BE15" s="15" t="n"/>
      <c r="BF15" s="15" t="n"/>
      <c r="BG15" s="15" t="n"/>
      <c r="BH15" s="15" t="n"/>
      <c r="BI15" s="15" t="n"/>
      <c r="BJ15" s="15" t="n"/>
      <c r="BK15" s="15" t="n"/>
      <c r="BL15" s="15" t="n"/>
      <c r="BM15" s="15" t="n"/>
      <c r="BN15" s="15" t="n"/>
      <c r="BO15" s="15" t="n"/>
      <c r="BP15" s="15" t="n"/>
      <c r="BQ15" s="15" t="n"/>
      <c r="BR15" s="15" t="n"/>
      <c r="BS15" s="15" t="n"/>
      <c r="BT15" s="15" t="n"/>
      <c r="BU15" s="15" t="n"/>
      <c r="BV15" s="15" t="n"/>
      <c r="BW15" s="15" t="n"/>
      <c r="BX15" s="15" t="n"/>
      <c r="BY15" s="15" t="n"/>
      <c r="BZ15" s="15" t="n"/>
      <c r="CA15" s="15" t="n"/>
      <c r="CB15" s="15" t="n"/>
      <c r="CC15" s="15" t="n"/>
      <c r="CD15" s="15" t="n"/>
      <c r="CE15" s="15" t="n"/>
      <c r="CF15" s="15" t="n"/>
      <c r="CG15" s="15" t="n"/>
      <c r="CH15" s="15" t="n"/>
      <c r="CI15" s="15" t="n"/>
      <c r="CJ15" s="15" t="n"/>
      <c r="CK15" s="15" t="n"/>
      <c r="CL15" s="15" t="n"/>
      <c r="CM15" s="15" t="n"/>
      <c r="CN15" s="15" t="n"/>
      <c r="CO15" s="15" t="n"/>
      <c r="CP15" s="15" t="n"/>
      <c r="CQ15" s="15" t="n"/>
      <c r="CR15" s="15" t="n"/>
      <c r="CS15" s="15" t="n"/>
      <c r="CT15" s="15" t="n"/>
      <c r="CU15" s="15" t="n"/>
      <c r="CV15" s="15" t="n"/>
      <c r="CW15" s="15" t="n"/>
      <c r="CX15" s="15" t="n"/>
      <c r="CY15" s="15" t="n"/>
      <c r="CZ15" s="15" t="n"/>
      <c r="DA15" s="15" t="n"/>
      <c r="DB15" s="15" t="n"/>
      <c r="DC15" s="15" t="n"/>
      <c r="DD15" s="15" t="n"/>
      <c r="DE15" s="15" t="n"/>
      <c r="DF15" s="15" t="n"/>
      <c r="DG15" s="15" t="n"/>
      <c r="DH15" s="15" t="n"/>
      <c r="DI15" s="15" t="n"/>
      <c r="DJ15" s="15" t="n"/>
      <c r="DK15" s="15" t="n"/>
      <c r="DL15" s="15" t="n"/>
    </row>
    <row r="16">
      <c r="A16" s="14" t="inlineStr">
        <is>
          <t>5(e)(i)</t>
        </is>
      </c>
      <c r="B16" s="7" t="inlineStr">
        <is>
          <t>Agreement to sell immovable property - with possession</t>
        </is>
      </c>
      <c r="C16" s="15" t="n"/>
      <c r="D16" s="15" t="n"/>
      <c r="E16" s="19" t="inlineStr">
        <is>
          <t>C</t>
        </is>
      </c>
      <c r="F16" s="19" t="inlineStr">
        <is>
          <t>C</t>
        </is>
      </c>
      <c r="G16" s="15" t="n"/>
      <c r="H16" s="18" t="inlineStr">
        <is>
          <t>E</t>
        </is>
      </c>
      <c r="I16" s="15" t="n"/>
      <c r="J16" s="15" t="n"/>
      <c r="K16" s="15" t="n"/>
      <c r="L16" s="15" t="n"/>
      <c r="M16" s="15" t="n"/>
      <c r="N16" s="15" t="n"/>
      <c r="O16" s="15" t="n"/>
      <c r="P16" s="15" t="n"/>
      <c r="Q16" s="15" t="n"/>
      <c r="R16" s="15" t="n"/>
      <c r="S16" s="15" t="n"/>
      <c r="T16" s="17" t="inlineStr">
        <is>
          <t>I</t>
        </is>
      </c>
      <c r="U16" s="17" t="inlineStr">
        <is>
          <t>I</t>
        </is>
      </c>
      <c r="V16" s="17" t="inlineStr">
        <is>
          <t>I</t>
        </is>
      </c>
      <c r="W16" s="15" t="n"/>
      <c r="X16" s="15" t="n"/>
      <c r="Y16" s="15" t="n"/>
      <c r="Z16" s="15" t="n"/>
      <c r="AA16" s="15" t="n"/>
      <c r="AB16" s="15" t="n"/>
      <c r="AC16" s="15" t="n"/>
      <c r="AD16" s="15" t="n"/>
      <c r="AE16" s="15" t="n"/>
      <c r="AF16" s="15" t="n"/>
      <c r="AG16" s="15" t="n"/>
      <c r="AH16" s="15" t="n"/>
      <c r="AI16" s="15" t="n"/>
      <c r="AJ16" s="15" t="n"/>
      <c r="AK16" s="15" t="n"/>
      <c r="AL16" s="15" t="n"/>
      <c r="AM16" s="15" t="n"/>
      <c r="AN16" s="15" t="n"/>
      <c r="AO16" s="15" t="n"/>
      <c r="AP16" s="15" t="n"/>
      <c r="AQ16" s="15" t="n"/>
      <c r="AR16" s="15" t="n"/>
      <c r="AS16" s="15" t="n"/>
      <c r="AT16" s="15" t="n"/>
      <c r="AU16" s="15" t="n"/>
      <c r="AV16" s="15" t="n"/>
      <c r="AW16" s="15" t="n"/>
      <c r="AX16" s="15" t="n"/>
      <c r="AY16" s="15" t="n"/>
      <c r="AZ16" s="15" t="n"/>
      <c r="BA16" s="15" t="n"/>
      <c r="BB16" s="15" t="n"/>
      <c r="BC16" s="15" t="n"/>
      <c r="BD16" s="15" t="n"/>
      <c r="BE16" s="15" t="n"/>
      <c r="BF16" s="15" t="n"/>
      <c r="BG16" s="15" t="n"/>
      <c r="BH16" s="15" t="n"/>
      <c r="BI16" s="15" t="n"/>
      <c r="BJ16" s="15" t="n"/>
      <c r="BK16" s="15" t="n"/>
      <c r="BL16" s="15" t="n"/>
      <c r="BM16" s="18" t="inlineStr">
        <is>
          <t>E</t>
        </is>
      </c>
      <c r="BN16" s="15" t="n"/>
      <c r="BO16" s="15" t="n"/>
      <c r="BP16" s="15" t="n"/>
      <c r="BQ16" s="15" t="n"/>
      <c r="BR16" s="15" t="n"/>
      <c r="BS16" s="15" t="n"/>
      <c r="BT16" s="15" t="n"/>
      <c r="BU16" s="15" t="n"/>
      <c r="BV16" s="15" t="n"/>
      <c r="BW16" s="15" t="n"/>
      <c r="BX16" s="15" t="n"/>
      <c r="BY16" s="15" t="n"/>
      <c r="BZ16" s="15" t="n"/>
      <c r="CA16" s="15" t="n"/>
      <c r="CB16" s="15" t="n"/>
      <c r="CC16" s="15" t="n"/>
      <c r="CD16" s="15" t="n"/>
      <c r="CE16" s="15" t="n"/>
      <c r="CF16" s="15" t="n"/>
      <c r="CG16" s="15" t="n"/>
      <c r="CH16" s="15" t="n"/>
      <c r="CI16" s="15" t="n"/>
      <c r="CJ16" s="15" t="n"/>
      <c r="CK16" s="15" t="n"/>
      <c r="CL16" s="15" t="n"/>
      <c r="CM16" s="15" t="n"/>
      <c r="CN16" s="15" t="n"/>
      <c r="CO16" s="15" t="n"/>
      <c r="CP16" s="15" t="n"/>
      <c r="CQ16" s="15" t="n"/>
      <c r="CR16" s="15" t="n"/>
      <c r="CS16" s="15" t="n"/>
      <c r="CT16" s="15" t="n"/>
      <c r="CU16" s="15" t="n"/>
      <c r="CV16" s="15" t="n"/>
      <c r="CW16" s="15" t="n"/>
      <c r="CX16" s="15" t="n"/>
      <c r="CY16" s="15" t="n"/>
      <c r="CZ16" s="15" t="n"/>
      <c r="DA16" s="15" t="n"/>
      <c r="DB16" s="15" t="n"/>
      <c r="DC16" s="15" t="n"/>
      <c r="DD16" s="15" t="n"/>
      <c r="DE16" s="15" t="n"/>
      <c r="DF16" s="15" t="n"/>
      <c r="DG16" s="15" t="n"/>
      <c r="DH16" s="15" t="n"/>
      <c r="DI16" s="15" t="n"/>
      <c r="DJ16" s="15" t="n"/>
      <c r="DK16" s="15" t="n"/>
      <c r="DL16" s="15" t="n"/>
    </row>
    <row r="17">
      <c r="A17" s="14" t="inlineStr">
        <is>
          <t>5(e)(ii)</t>
        </is>
      </c>
      <c r="B17" s="7" t="inlineStr">
        <is>
          <t>Agreement to sell immovable property - without possession</t>
        </is>
      </c>
      <c r="C17" s="15" t="n"/>
      <c r="D17" s="15" t="n"/>
      <c r="E17" s="19" t="inlineStr">
        <is>
          <t>C</t>
        </is>
      </c>
      <c r="F17" s="19" t="inlineStr">
        <is>
          <t>C</t>
        </is>
      </c>
      <c r="G17" s="15" t="n"/>
      <c r="H17" s="18" t="inlineStr">
        <is>
          <t>E</t>
        </is>
      </c>
      <c r="I17" s="15" t="n"/>
      <c r="J17" s="15" t="n"/>
      <c r="K17" s="15" t="n"/>
      <c r="L17" s="15" t="n"/>
      <c r="M17" s="15" t="n"/>
      <c r="N17" s="15" t="n"/>
      <c r="O17" s="15" t="n"/>
      <c r="P17" s="15" t="n"/>
      <c r="Q17" s="15" t="n"/>
      <c r="R17" s="15" t="n"/>
      <c r="S17" s="15" t="n"/>
      <c r="T17" s="17" t="inlineStr">
        <is>
          <t>I</t>
        </is>
      </c>
      <c r="U17" s="17" t="inlineStr">
        <is>
          <t>I</t>
        </is>
      </c>
      <c r="V17" s="17" t="inlineStr">
        <is>
          <t>I</t>
        </is>
      </c>
      <c r="W17" s="15" t="n"/>
      <c r="X17" s="15" t="n"/>
      <c r="Y17" s="15" t="n"/>
      <c r="Z17" s="15" t="n"/>
      <c r="AA17" s="15" t="n"/>
      <c r="AB17" s="15" t="n"/>
      <c r="AC17" s="15" t="n"/>
      <c r="AD17" s="15" t="n"/>
      <c r="AE17" s="15" t="n"/>
      <c r="AF17" s="15" t="n"/>
      <c r="AG17" s="15" t="n"/>
      <c r="AH17" s="15" t="n"/>
      <c r="AI17" s="15" t="n"/>
      <c r="AJ17" s="15" t="n"/>
      <c r="AK17" s="15" t="n"/>
      <c r="AL17" s="15" t="n"/>
      <c r="AM17" s="15" t="n"/>
      <c r="AN17" s="15" t="n"/>
      <c r="AO17" s="15" t="n"/>
      <c r="AP17" s="15" t="n"/>
      <c r="AQ17" s="15" t="n"/>
      <c r="AR17" s="15" t="n"/>
      <c r="AS17" s="15" t="n"/>
      <c r="AT17" s="15" t="n"/>
      <c r="AU17" s="15" t="n"/>
      <c r="AV17" s="15" t="n"/>
      <c r="AW17" s="15" t="n"/>
      <c r="AX17" s="15" t="n"/>
      <c r="AY17" s="15" t="n"/>
      <c r="AZ17" s="15" t="n"/>
      <c r="BA17" s="15" t="n"/>
      <c r="BB17" s="15" t="n"/>
      <c r="BC17" s="15" t="n"/>
      <c r="BD17" s="15" t="n"/>
      <c r="BE17" s="15" t="n"/>
      <c r="BF17" s="15" t="n"/>
      <c r="BG17" s="15" t="n"/>
      <c r="BH17" s="15" t="n"/>
      <c r="BI17" s="15" t="n"/>
      <c r="BJ17" s="15" t="n"/>
      <c r="BK17" s="15" t="n"/>
      <c r="BL17" s="15" t="n"/>
      <c r="BM17" s="15" t="n"/>
      <c r="BN17" s="15" t="n"/>
      <c r="BO17" s="15" t="n"/>
      <c r="BP17" s="15" t="n"/>
      <c r="BQ17" s="15" t="n"/>
      <c r="BR17" s="15" t="n"/>
      <c r="BS17" s="15" t="n"/>
      <c r="BT17" s="15" t="n"/>
      <c r="BU17" s="15" t="n"/>
      <c r="BV17" s="15" t="n"/>
      <c r="BW17" s="15" t="n"/>
      <c r="BX17" s="15" t="n"/>
      <c r="BY17" s="15" t="n"/>
      <c r="BZ17" s="15" t="n"/>
      <c r="CA17" s="15" t="n"/>
      <c r="CB17" s="15" t="n"/>
      <c r="CC17" s="15" t="n"/>
      <c r="CD17" s="15" t="n"/>
      <c r="CE17" s="15" t="n"/>
      <c r="CF17" s="15" t="n"/>
      <c r="CG17" s="15" t="n"/>
      <c r="CH17" s="15" t="n"/>
      <c r="CI17" s="15" t="n"/>
      <c r="CJ17" s="15" t="n"/>
      <c r="CK17" s="15" t="n"/>
      <c r="CL17" s="15" t="n"/>
      <c r="CM17" s="15" t="n"/>
      <c r="CN17" s="15" t="n"/>
      <c r="CO17" s="15" t="n"/>
      <c r="CP17" s="15" t="n"/>
      <c r="CQ17" s="15" t="n"/>
      <c r="CR17" s="15" t="n"/>
      <c r="CS17" s="15" t="n"/>
      <c r="CT17" s="15" t="n"/>
      <c r="CU17" s="15" t="n"/>
      <c r="CV17" s="15" t="n"/>
      <c r="CW17" s="15" t="n"/>
      <c r="CX17" s="15" t="n"/>
      <c r="CY17" s="15" t="n"/>
      <c r="CZ17" s="15" t="n"/>
      <c r="DA17" s="15" t="n"/>
      <c r="DB17" s="15" t="n"/>
      <c r="DC17" s="15" t="n"/>
      <c r="DD17" s="15" t="n"/>
      <c r="DE17" s="15" t="n"/>
      <c r="DF17" s="15" t="n"/>
      <c r="DG17" s="15" t="n"/>
      <c r="DH17" s="15" t="n"/>
      <c r="DI17" s="15" t="n"/>
      <c r="DJ17" s="15" t="n"/>
      <c r="DK17" s="15" t="n"/>
      <c r="DL17" s="15" t="n"/>
    </row>
    <row r="18">
      <c r="A18" s="14" t="inlineStr">
        <is>
          <t>5(f)</t>
        </is>
      </c>
      <c r="B18" s="7" t="inlineStr">
        <is>
          <t>Joint Development / Construction Agreement</t>
        </is>
      </c>
      <c r="C18" s="15" t="n"/>
      <c r="D18" s="15" t="n"/>
      <c r="E18" s="19" t="inlineStr">
        <is>
          <t>C</t>
        </is>
      </c>
      <c r="F18" s="15" t="n"/>
      <c r="G18" s="15" t="n"/>
      <c r="H18" s="15" t="n"/>
      <c r="I18" s="15" t="n"/>
      <c r="J18" s="15" t="n"/>
      <c r="K18" s="15" t="n"/>
      <c r="L18" s="15" t="n"/>
      <c r="M18" s="15" t="n"/>
      <c r="N18" s="15" t="n"/>
      <c r="O18" s="15" t="n"/>
      <c r="P18" s="15" t="n"/>
      <c r="Q18" s="15" t="n"/>
      <c r="R18" s="15" t="n"/>
      <c r="S18" s="15" t="n"/>
      <c r="T18" s="17" t="inlineStr">
        <is>
          <t>I</t>
        </is>
      </c>
      <c r="U18" s="15" t="n"/>
      <c r="V18" s="15" t="n"/>
      <c r="W18" s="15" t="n"/>
      <c r="X18" s="15" t="n"/>
      <c r="Y18" s="15" t="n"/>
      <c r="Z18" s="15" t="n"/>
      <c r="AA18" s="15" t="n"/>
      <c r="AB18" s="15" t="n"/>
      <c r="AC18" s="15" t="n"/>
      <c r="AD18" s="19" t="inlineStr">
        <is>
          <t>C</t>
        </is>
      </c>
      <c r="AE18" s="19" t="inlineStr">
        <is>
          <t>C</t>
        </is>
      </c>
      <c r="AF18" s="19" t="inlineStr">
        <is>
          <t>C</t>
        </is>
      </c>
      <c r="AG18" s="18" t="inlineStr">
        <is>
          <t>E</t>
        </is>
      </c>
      <c r="AH18" s="15" t="n"/>
      <c r="AI18" s="15" t="n"/>
      <c r="AJ18" s="15" t="n"/>
      <c r="AK18" s="15" t="n"/>
      <c r="AL18" s="15" t="n"/>
      <c r="AM18" s="15" t="n"/>
      <c r="AN18" s="15" t="n"/>
      <c r="AO18" s="15" t="n"/>
      <c r="AP18" s="15" t="n"/>
      <c r="AQ18" s="15" t="n"/>
      <c r="AR18" s="15" t="n"/>
      <c r="AS18" s="15" t="n"/>
      <c r="AT18" s="15" t="n"/>
      <c r="AU18" s="15" t="n"/>
      <c r="AV18" s="15" t="n"/>
      <c r="AW18" s="15" t="n"/>
      <c r="AX18" s="15" t="n"/>
      <c r="AY18" s="15" t="n"/>
      <c r="AZ18" s="15" t="n"/>
      <c r="BA18" s="15" t="n"/>
      <c r="BB18" s="15" t="n"/>
      <c r="BC18" s="15" t="n"/>
      <c r="BD18" s="15" t="n"/>
      <c r="BE18" s="15" t="n"/>
      <c r="BF18" s="15" t="n"/>
      <c r="BG18" s="15" t="n"/>
      <c r="BH18" s="15" t="n"/>
      <c r="BI18" s="15" t="n"/>
      <c r="BJ18" s="15" t="n"/>
      <c r="BK18" s="15" t="n"/>
      <c r="BL18" s="15" t="n"/>
      <c r="BM18" s="15" t="n"/>
      <c r="BN18" s="15" t="n"/>
      <c r="BO18" s="15" t="n"/>
      <c r="BP18" s="15" t="n"/>
      <c r="BQ18" s="15" t="n"/>
      <c r="BR18" s="15" t="n"/>
      <c r="BS18" s="15" t="n"/>
      <c r="BT18" s="15" t="n"/>
      <c r="BU18" s="15" t="n"/>
      <c r="BV18" s="15" t="n"/>
      <c r="BW18" s="15" t="n"/>
      <c r="BX18" s="15" t="n"/>
      <c r="BY18" s="15" t="n"/>
      <c r="BZ18" s="15" t="n"/>
      <c r="CA18" s="15" t="n"/>
      <c r="CB18" s="15" t="n"/>
      <c r="CC18" s="15" t="n"/>
      <c r="CD18" s="15" t="n"/>
      <c r="CE18" s="15" t="n"/>
      <c r="CF18" s="15" t="n"/>
      <c r="CG18" s="15" t="n"/>
      <c r="CH18" s="15" t="n"/>
      <c r="CI18" s="15" t="n"/>
      <c r="CJ18" s="15" t="n"/>
      <c r="CK18" s="15" t="n"/>
      <c r="CL18" s="15" t="n"/>
      <c r="CM18" s="15" t="n"/>
      <c r="CN18" s="15" t="n"/>
      <c r="CO18" s="15" t="n"/>
      <c r="CP18" s="15" t="n"/>
      <c r="CQ18" s="15" t="n"/>
      <c r="CR18" s="15" t="n"/>
      <c r="CS18" s="15" t="n"/>
      <c r="CT18" s="15" t="n"/>
      <c r="CU18" s="15" t="n"/>
      <c r="CV18" s="15" t="n"/>
      <c r="CW18" s="15" t="n"/>
      <c r="CX18" s="15" t="n"/>
      <c r="CY18" s="15" t="n"/>
      <c r="CZ18" s="15" t="n"/>
      <c r="DA18" s="15" t="n"/>
      <c r="DB18" s="15" t="n"/>
      <c r="DC18" s="15" t="n"/>
      <c r="DD18" s="15" t="n"/>
      <c r="DE18" s="15" t="n"/>
      <c r="DF18" s="15" t="n"/>
      <c r="DG18" s="15" t="n"/>
      <c r="DH18" s="15" t="n"/>
      <c r="DI18" s="15" t="n"/>
      <c r="DJ18" s="15" t="n"/>
      <c r="DK18" s="15" t="n"/>
      <c r="DL18" s="15" t="n"/>
    </row>
    <row r="19">
      <c r="A19" s="14" t="inlineStr">
        <is>
          <t>5(g)(i)</t>
        </is>
      </c>
      <c r="B19" s="7" t="inlineStr">
        <is>
          <t>Agreement to sell movable property - with possession</t>
        </is>
      </c>
      <c r="C19" s="15" t="n"/>
      <c r="D19" s="15" t="n"/>
      <c r="E19" s="19" t="inlineStr">
        <is>
          <t>C</t>
        </is>
      </c>
      <c r="F19" s="19" t="inlineStr">
        <is>
          <t>C</t>
        </is>
      </c>
      <c r="G19" s="15" t="n"/>
      <c r="H19" s="15" t="n"/>
      <c r="I19" s="15" t="n"/>
      <c r="J19" s="15" t="n"/>
      <c r="K19" s="15" t="n"/>
      <c r="L19" s="15" t="n"/>
      <c r="M19" s="15" t="n"/>
      <c r="N19" s="15" t="n"/>
      <c r="O19" s="15" t="n"/>
      <c r="P19" s="15" t="n"/>
      <c r="Q19" s="15" t="n"/>
      <c r="R19" s="15" t="n"/>
      <c r="S19" s="15" t="n"/>
      <c r="T19" s="17" t="inlineStr">
        <is>
          <t>I</t>
        </is>
      </c>
      <c r="U19" s="17" t="inlineStr">
        <is>
          <t>I</t>
        </is>
      </c>
      <c r="V19" s="15" t="n"/>
      <c r="W19" s="15" t="n"/>
      <c r="X19" s="15" t="n"/>
      <c r="Y19" s="15" t="n"/>
      <c r="Z19" s="15" t="n"/>
      <c r="AA19" s="15" t="n"/>
      <c r="AB19" s="15" t="n"/>
      <c r="AC19" s="15" t="n"/>
      <c r="AD19" s="15" t="n"/>
      <c r="AE19" s="15" t="n"/>
      <c r="AF19" s="15" t="n"/>
      <c r="AG19" s="15" t="n"/>
      <c r="AH19" s="15" t="n"/>
      <c r="AI19" s="15" t="n"/>
      <c r="AJ19" s="15" t="n"/>
      <c r="AK19" s="15" t="n"/>
      <c r="AL19" s="15" t="n"/>
      <c r="AM19" s="15" t="n"/>
      <c r="AN19" s="15" t="n"/>
      <c r="AO19" s="15" t="n"/>
      <c r="AP19" s="15" t="n"/>
      <c r="AQ19" s="15" t="n"/>
      <c r="AR19" s="15" t="n"/>
      <c r="AS19" s="15" t="n"/>
      <c r="AT19" s="15" t="n"/>
      <c r="AU19" s="15" t="n"/>
      <c r="AV19" s="15" t="n"/>
      <c r="AW19" s="15" t="n"/>
      <c r="AX19" s="15" t="n"/>
      <c r="AY19" s="15" t="n"/>
      <c r="AZ19" s="15" t="n"/>
      <c r="BA19" s="15" t="n"/>
      <c r="BB19" s="15" t="n"/>
      <c r="BC19" s="15" t="n"/>
      <c r="BD19" s="15" t="n"/>
      <c r="BE19" s="15" t="n"/>
      <c r="BF19" s="15" t="n"/>
      <c r="BG19" s="15" t="n"/>
      <c r="BH19" s="15" t="n"/>
      <c r="BI19" s="15" t="n"/>
      <c r="BJ19" s="15" t="n"/>
      <c r="BK19" s="15" t="n"/>
      <c r="BL19" s="15" t="n"/>
      <c r="BM19" s="15" t="n"/>
      <c r="BN19" s="15" t="n"/>
      <c r="BO19" s="15" t="n"/>
      <c r="BP19" s="15" t="n"/>
      <c r="BQ19" s="15" t="n"/>
      <c r="BR19" s="15" t="n"/>
      <c r="BS19" s="15" t="n"/>
      <c r="BT19" s="15" t="n"/>
      <c r="BU19" s="15" t="n"/>
      <c r="BV19" s="15" t="n"/>
      <c r="BW19" s="15" t="n"/>
      <c r="BX19" s="15" t="n"/>
      <c r="BY19" s="15" t="n"/>
      <c r="BZ19" s="15" t="n"/>
      <c r="CA19" s="15" t="n"/>
      <c r="CB19" s="15" t="n"/>
      <c r="CC19" s="15" t="n"/>
      <c r="CD19" s="15" t="n"/>
      <c r="CE19" s="15" t="n"/>
      <c r="CF19" s="15" t="n"/>
      <c r="CG19" s="15" t="n"/>
      <c r="CH19" s="15" t="n"/>
      <c r="CI19" s="15" t="n"/>
      <c r="CJ19" s="15" t="n"/>
      <c r="CK19" s="15" t="n"/>
      <c r="CL19" s="15" t="n"/>
      <c r="CM19" s="15" t="n"/>
      <c r="CN19" s="15" t="n"/>
      <c r="CO19" s="15" t="n"/>
      <c r="CP19" s="15" t="n"/>
      <c r="CQ19" s="15" t="n"/>
      <c r="CR19" s="15" t="n"/>
      <c r="CS19" s="15" t="n"/>
      <c r="CT19" s="15" t="n"/>
      <c r="CU19" s="15" t="n"/>
      <c r="CV19" s="15" t="n"/>
      <c r="CW19" s="15" t="n"/>
      <c r="CX19" s="15" t="n"/>
      <c r="CY19" s="15" t="n"/>
      <c r="CZ19" s="15" t="n"/>
      <c r="DA19" s="15" t="n"/>
      <c r="DB19" s="15" t="n"/>
      <c r="DC19" s="15" t="n"/>
      <c r="DD19" s="15" t="n"/>
      <c r="DE19" s="15" t="n"/>
      <c r="DF19" s="15" t="n"/>
      <c r="DG19" s="15" t="n"/>
      <c r="DH19" s="15" t="n"/>
      <c r="DI19" s="15" t="n"/>
      <c r="DJ19" s="15" t="n"/>
      <c r="DK19" s="15" t="n"/>
      <c r="DL19" s="15" t="n"/>
    </row>
    <row r="20">
      <c r="A20" s="14" t="inlineStr">
        <is>
          <t>5(g)(ii)</t>
        </is>
      </c>
      <c r="B20" s="7" t="inlineStr">
        <is>
          <t>Agreement to sell movable property - without possession</t>
        </is>
      </c>
      <c r="C20" s="15" t="n"/>
      <c r="D20" s="15" t="n"/>
      <c r="E20" s="19" t="inlineStr">
        <is>
          <t>C</t>
        </is>
      </c>
      <c r="F20" s="15" t="n"/>
      <c r="G20" s="15" t="n"/>
      <c r="H20" s="15" t="n"/>
      <c r="I20" s="15" t="n"/>
      <c r="J20" s="15" t="n"/>
      <c r="K20" s="15" t="n"/>
      <c r="L20" s="15" t="n"/>
      <c r="M20" s="15" t="n"/>
      <c r="N20" s="15" t="n"/>
      <c r="O20" s="15" t="n"/>
      <c r="P20" s="15" t="n"/>
      <c r="Q20" s="15" t="n"/>
      <c r="R20" s="15" t="n"/>
      <c r="S20" s="15" t="n"/>
      <c r="T20" s="17" t="inlineStr">
        <is>
          <t>I</t>
        </is>
      </c>
      <c r="U20" s="17" t="inlineStr">
        <is>
          <t>I</t>
        </is>
      </c>
      <c r="V20" s="15" t="n"/>
      <c r="W20" s="15" t="n"/>
      <c r="X20" s="15" t="n"/>
      <c r="Y20" s="15" t="n"/>
      <c r="Z20" s="15" t="n"/>
      <c r="AA20" s="15" t="n"/>
      <c r="AB20" s="15" t="n"/>
      <c r="AC20" s="15" t="n"/>
      <c r="AD20" s="15" t="n"/>
      <c r="AE20" s="15" t="n"/>
      <c r="AF20" s="15" t="n"/>
      <c r="AG20" s="15" t="n"/>
      <c r="AH20" s="15" t="n"/>
      <c r="AI20" s="15" t="n"/>
      <c r="AJ20" s="15" t="n"/>
      <c r="AK20" s="15" t="n"/>
      <c r="AL20" s="15" t="n"/>
      <c r="AM20" s="15" t="n"/>
      <c r="AN20" s="15" t="n"/>
      <c r="AO20" s="15" t="n"/>
      <c r="AP20" s="15" t="n"/>
      <c r="AQ20" s="15" t="n"/>
      <c r="AR20" s="15" t="n"/>
      <c r="AS20" s="15" t="n"/>
      <c r="AT20" s="15" t="n"/>
      <c r="AU20" s="15" t="n"/>
      <c r="AV20" s="15" t="n"/>
      <c r="AW20" s="15" t="n"/>
      <c r="AX20" s="15" t="n"/>
      <c r="AY20" s="15" t="n"/>
      <c r="AZ20" s="15" t="n"/>
      <c r="BA20" s="15" t="n"/>
      <c r="BB20" s="15" t="n"/>
      <c r="BC20" s="15" t="n"/>
      <c r="BD20" s="15" t="n"/>
      <c r="BE20" s="15" t="n"/>
      <c r="BF20" s="15" t="n"/>
      <c r="BG20" s="15" t="n"/>
      <c r="BH20" s="15" t="n"/>
      <c r="BI20" s="15" t="n"/>
      <c r="BJ20" s="15" t="n"/>
      <c r="BK20" s="15" t="n"/>
      <c r="BL20" s="15" t="n"/>
      <c r="BM20" s="15" t="n"/>
      <c r="BN20" s="15" t="n"/>
      <c r="BO20" s="15" t="n"/>
      <c r="BP20" s="15" t="n"/>
      <c r="BQ20" s="15" t="n"/>
      <c r="BR20" s="15" t="n"/>
      <c r="BS20" s="15" t="n"/>
      <c r="BT20" s="15" t="n"/>
      <c r="BU20" s="15" t="n"/>
      <c r="BV20" s="15" t="n"/>
      <c r="BW20" s="15" t="n"/>
      <c r="BX20" s="15" t="n"/>
      <c r="BY20" s="15" t="n"/>
      <c r="BZ20" s="15" t="n"/>
      <c r="CA20" s="15" t="n"/>
      <c r="CB20" s="15" t="n"/>
      <c r="CC20" s="15" t="n"/>
      <c r="CD20" s="15" t="n"/>
      <c r="CE20" s="15" t="n"/>
      <c r="CF20" s="15" t="n"/>
      <c r="CG20" s="15" t="n"/>
      <c r="CH20" s="15" t="n"/>
      <c r="CI20" s="15" t="n"/>
      <c r="CJ20" s="15" t="n"/>
      <c r="CK20" s="15" t="n"/>
      <c r="CL20" s="15" t="n"/>
      <c r="CM20" s="15" t="n"/>
      <c r="CN20" s="15" t="n"/>
      <c r="CO20" s="15" t="n"/>
      <c r="CP20" s="15" t="n"/>
      <c r="CQ20" s="15" t="n"/>
      <c r="CR20" s="15" t="n"/>
      <c r="CS20" s="15" t="n"/>
      <c r="CT20" s="15" t="n"/>
      <c r="CU20" s="15" t="n"/>
      <c r="CV20" s="15" t="n"/>
      <c r="CW20" s="15" t="n"/>
      <c r="CX20" s="15" t="n"/>
      <c r="CY20" s="15" t="n"/>
      <c r="CZ20" s="15" t="n"/>
      <c r="DA20" s="15" t="n"/>
      <c r="DB20" s="15" t="n"/>
      <c r="DC20" s="15" t="n"/>
      <c r="DD20" s="15" t="n"/>
      <c r="DE20" s="15" t="n"/>
      <c r="DF20" s="15" t="n"/>
      <c r="DG20" s="15" t="n"/>
      <c r="DH20" s="15" t="n"/>
      <c r="DI20" s="15" t="n"/>
      <c r="DJ20" s="15" t="n"/>
      <c r="DK20" s="15" t="n"/>
      <c r="DL20" s="15" t="n"/>
    </row>
    <row r="21">
      <c r="A21" s="14" t="inlineStr">
        <is>
          <t>5(h)</t>
        </is>
      </c>
      <c r="B21" s="7" t="inlineStr">
        <is>
          <t>Agreement relating to mortgage</t>
        </is>
      </c>
      <c r="C21" s="15" t="n"/>
      <c r="D21" s="15" t="n"/>
      <c r="E21" s="15" t="n"/>
      <c r="F21" s="15" t="n"/>
      <c r="G21" s="15" t="n"/>
      <c r="H21" s="18" t="inlineStr">
        <is>
          <t>E</t>
        </is>
      </c>
      <c r="I21" s="15" t="n"/>
      <c r="J21" s="15" t="n"/>
      <c r="K21" s="15" t="n"/>
      <c r="L21" s="15" t="n"/>
      <c r="M21" s="15" t="n"/>
      <c r="N21" s="15" t="n"/>
      <c r="O21" s="15" t="n"/>
      <c r="P21" s="15" t="n"/>
      <c r="Q21" s="15" t="n"/>
      <c r="R21" s="15" t="n"/>
      <c r="S21" s="15" t="n"/>
      <c r="T21" s="17" t="inlineStr">
        <is>
          <t>I</t>
        </is>
      </c>
      <c r="U21" s="15" t="n"/>
      <c r="V21" s="15" t="n"/>
      <c r="W21" s="15" t="n"/>
      <c r="X21" s="15" t="n"/>
      <c r="Y21" s="15" t="n"/>
      <c r="Z21" s="15" t="n"/>
      <c r="AA21" s="15" t="n"/>
      <c r="AB21" s="15" t="n"/>
      <c r="AC21" s="15" t="n"/>
      <c r="AD21" s="15" t="n"/>
      <c r="AE21" s="15" t="n"/>
      <c r="AF21" s="15" t="n"/>
      <c r="AG21" s="15" t="n"/>
      <c r="AH21" s="15" t="n"/>
      <c r="AI21" s="19" t="inlineStr">
        <is>
          <t>C</t>
        </is>
      </c>
      <c r="AJ21" s="15" t="n"/>
      <c r="AK21" s="15" t="n"/>
      <c r="AL21" s="17" t="inlineStr">
        <is>
          <t>I</t>
        </is>
      </c>
      <c r="AM21" s="15" t="n"/>
      <c r="AN21" s="15" t="n"/>
      <c r="AO21" s="15" t="n"/>
      <c r="AP21" s="15" t="n"/>
      <c r="AQ21" s="15" t="n"/>
      <c r="AR21" s="15" t="n"/>
      <c r="AS21" s="15" t="n"/>
      <c r="AT21" s="15" t="n"/>
      <c r="AU21" s="15" t="n"/>
      <c r="AV21" s="15" t="n"/>
      <c r="AW21" s="15" t="n"/>
      <c r="AX21" s="15" t="n"/>
      <c r="AY21" s="15" t="n"/>
      <c r="AZ21" s="15" t="n"/>
      <c r="BA21" s="15" t="n"/>
      <c r="BB21" s="15" t="n"/>
      <c r="BC21" s="15" t="n"/>
      <c r="BD21" s="15" t="n"/>
      <c r="BE21" s="15" t="n"/>
      <c r="BF21" s="15" t="n"/>
      <c r="BG21" s="15" t="n"/>
      <c r="BH21" s="15" t="n"/>
      <c r="BI21" s="15" t="n"/>
      <c r="BJ21" s="15" t="n"/>
      <c r="BK21" s="15" t="n"/>
      <c r="BL21" s="15" t="n"/>
      <c r="BM21" s="15" t="n"/>
      <c r="BN21" s="15" t="n"/>
      <c r="BO21" s="15" t="n"/>
      <c r="BP21" s="15" t="n"/>
      <c r="BQ21" s="15" t="n"/>
      <c r="BR21" s="15" t="n"/>
      <c r="BS21" s="15" t="n"/>
      <c r="BT21" s="15" t="n"/>
      <c r="BU21" s="15" t="n"/>
      <c r="BV21" s="15" t="n"/>
      <c r="BW21" s="15" t="n"/>
      <c r="BX21" s="15" t="n"/>
      <c r="BY21" s="15" t="n"/>
      <c r="BZ21" s="15" t="n"/>
      <c r="CA21" s="15" t="n"/>
      <c r="CB21" s="15" t="n"/>
      <c r="CC21" s="15" t="n"/>
      <c r="CD21" s="15" t="n"/>
      <c r="CE21" s="15" t="n"/>
      <c r="CF21" s="15" t="n"/>
      <c r="CG21" s="15" t="n"/>
      <c r="CH21" s="15" t="n"/>
      <c r="CI21" s="15" t="n"/>
      <c r="CJ21" s="15" t="n"/>
      <c r="CK21" s="15" t="n"/>
      <c r="CL21" s="15" t="n"/>
      <c r="CM21" s="15" t="n"/>
      <c r="CN21" s="15" t="n"/>
      <c r="CO21" s="15" t="n"/>
      <c r="CP21" s="15" t="n"/>
      <c r="CQ21" s="15" t="n"/>
      <c r="CR21" s="15" t="n"/>
      <c r="CS21" s="15" t="n"/>
      <c r="CT21" s="15" t="n"/>
      <c r="CU21" s="15" t="n"/>
      <c r="CV21" s="15" t="n"/>
      <c r="CW21" s="15" t="n"/>
      <c r="CX21" s="15" t="n"/>
      <c r="CY21" s="15" t="n"/>
      <c r="CZ21" s="15" t="n"/>
      <c r="DA21" s="15" t="n"/>
      <c r="DB21" s="15" t="n"/>
      <c r="DC21" s="15" t="n"/>
      <c r="DD21" s="15" t="n"/>
      <c r="DE21" s="15" t="n"/>
      <c r="DF21" s="15" t="n"/>
      <c r="DG21" s="15" t="n"/>
      <c r="DH21" s="15" t="n"/>
      <c r="DI21" s="15" t="n"/>
      <c r="DJ21" s="15" t="n"/>
      <c r="DK21" s="15" t="n"/>
      <c r="DL21" s="15" t="n"/>
    </row>
    <row r="22">
      <c r="A22" s="14" t="inlineStr">
        <is>
          <t>5(i)</t>
        </is>
      </c>
      <c r="B22" s="7" t="inlineStr">
        <is>
          <t>Depository Participant - client (Demat)</t>
        </is>
      </c>
      <c r="C22" s="15" t="n"/>
      <c r="D22" s="15" t="n"/>
      <c r="E22" s="15" t="n"/>
      <c r="F22" s="15" t="n"/>
      <c r="G22" s="15" t="n"/>
      <c r="H22" s="15" t="n"/>
      <c r="I22" s="15" t="n"/>
      <c r="J22" s="15" t="n"/>
      <c r="K22" s="15" t="n"/>
      <c r="L22" s="15" t="n"/>
      <c r="M22" s="15" t="n"/>
      <c r="N22" s="15" t="n"/>
      <c r="O22" s="15" t="n"/>
      <c r="P22" s="15" t="n"/>
      <c r="Q22" s="15" t="n"/>
      <c r="R22" s="15" t="n"/>
      <c r="S22" s="15" t="n"/>
      <c r="T22" s="17" t="inlineStr">
        <is>
          <t>I</t>
        </is>
      </c>
      <c r="U22" s="15" t="n"/>
      <c r="V22" s="15" t="n"/>
      <c r="W22" s="15" t="n"/>
      <c r="X22" s="15" t="n"/>
      <c r="Y22" s="15" t="n"/>
      <c r="Z22" s="15" t="n"/>
      <c r="AA22" s="15" t="n"/>
      <c r="AB22" s="15" t="n"/>
      <c r="AC22" s="15" t="n"/>
      <c r="AD22" s="15" t="n"/>
      <c r="AE22" s="15" t="n"/>
      <c r="AF22" s="15" t="n"/>
      <c r="AG22" s="15" t="n"/>
      <c r="AH22" s="15" t="n"/>
      <c r="AI22" s="15" t="n"/>
      <c r="AJ22" s="15" t="n"/>
      <c r="AK22" s="15" t="n"/>
      <c r="AL22" s="15" t="n"/>
      <c r="AM22" s="15" t="n"/>
      <c r="AN22" s="15" t="n"/>
      <c r="AO22" s="15" t="n"/>
      <c r="AP22" s="15" t="n"/>
      <c r="AQ22" s="15" t="n"/>
      <c r="AR22" s="15" t="n"/>
      <c r="AS22" s="15" t="n"/>
      <c r="AT22" s="15" t="n"/>
      <c r="AU22" s="15" t="n"/>
      <c r="AV22" s="15" t="n"/>
      <c r="AW22" s="15" t="n"/>
      <c r="AX22" s="15" t="n"/>
      <c r="AY22" s="15" t="n"/>
      <c r="AZ22" s="15" t="n"/>
      <c r="BA22" s="15" t="n"/>
      <c r="BB22" s="15" t="n"/>
      <c r="BC22" s="15" t="n"/>
      <c r="BD22" s="15" t="n"/>
      <c r="BE22" s="15" t="n"/>
      <c r="BF22" s="15" t="n"/>
      <c r="BG22" s="15" t="n"/>
      <c r="BH22" s="15" t="n"/>
      <c r="BI22" s="15" t="n"/>
      <c r="BJ22" s="15" t="n"/>
      <c r="BK22" s="15" t="n"/>
      <c r="BL22" s="15" t="n"/>
      <c r="BM22" s="15" t="n"/>
      <c r="BN22" s="15" t="n"/>
      <c r="BO22" s="15" t="n"/>
      <c r="BP22" s="15" t="n"/>
      <c r="BQ22" s="15" t="n"/>
      <c r="BR22" s="15" t="n"/>
      <c r="BS22" s="15" t="n"/>
      <c r="BT22" s="15" t="n"/>
      <c r="BU22" s="15" t="n"/>
      <c r="BV22" s="15" t="n"/>
      <c r="BW22" s="15" t="n"/>
      <c r="BX22" s="15" t="n"/>
      <c r="BY22" s="15" t="n"/>
      <c r="BZ22" s="15" t="n"/>
      <c r="CA22" s="15" t="n"/>
      <c r="CB22" s="15" t="n"/>
      <c r="CC22" s="15" t="n"/>
      <c r="CD22" s="15" t="n"/>
      <c r="CE22" s="15" t="n"/>
      <c r="CF22" s="15" t="n"/>
      <c r="CG22" s="15" t="n"/>
      <c r="CH22" s="15" t="n"/>
      <c r="CI22" s="15" t="n"/>
      <c r="CJ22" s="15" t="n"/>
      <c r="CK22" s="15" t="n"/>
      <c r="CL22" s="15" t="n"/>
      <c r="CM22" s="15" t="n"/>
      <c r="CN22" s="15" t="n"/>
      <c r="CO22" s="15" t="n"/>
      <c r="CP22" s="15" t="n"/>
      <c r="CQ22" s="15" t="n"/>
      <c r="CR22" s="15" t="n"/>
      <c r="CS22" s="15" t="n"/>
      <c r="CT22" s="15" t="n"/>
      <c r="CU22" s="15" t="n"/>
      <c r="CV22" s="15" t="n"/>
      <c r="CW22" s="15" t="n"/>
      <c r="CX22" s="15" t="n"/>
      <c r="CY22" s="15" t="n"/>
      <c r="CZ22" s="15" t="n"/>
      <c r="DA22" s="15" t="n"/>
      <c r="DB22" s="15" t="n"/>
      <c r="DC22" s="15" t="n"/>
      <c r="DD22" s="15" t="n"/>
      <c r="DE22" s="15" t="n"/>
      <c r="DF22" s="15" t="n"/>
      <c r="DG22" s="15" t="n"/>
      <c r="DH22" s="15" t="n"/>
      <c r="DI22" s="15" t="n"/>
      <c r="DJ22" s="15" t="n"/>
      <c r="DK22" s="15" t="n"/>
      <c r="DL22" s="15" t="n"/>
    </row>
    <row r="23">
      <c r="A23" s="14" t="inlineStr">
        <is>
          <t>5(i-a)</t>
        </is>
      </c>
      <c r="B23" s="7" t="inlineStr">
        <is>
          <t>Stock broker / sub-broker - client</t>
        </is>
      </c>
      <c r="C23" s="15" t="n"/>
      <c r="D23" s="15" t="n"/>
      <c r="E23" s="15" t="n"/>
      <c r="F23" s="15" t="n"/>
      <c r="G23" s="15" t="n"/>
      <c r="H23" s="15" t="n"/>
      <c r="I23" s="15" t="n"/>
      <c r="J23" s="15" t="n"/>
      <c r="K23" s="15" t="n"/>
      <c r="L23" s="15" t="n"/>
      <c r="M23" s="15" t="n"/>
      <c r="N23" s="15" t="n"/>
      <c r="O23" s="15" t="n"/>
      <c r="P23" s="15" t="n"/>
      <c r="Q23" s="15" t="n"/>
      <c r="R23" s="15" t="n"/>
      <c r="S23" s="15" t="n"/>
      <c r="T23" s="17" t="inlineStr">
        <is>
          <t>I</t>
        </is>
      </c>
      <c r="U23" s="15" t="n"/>
      <c r="V23" s="15" t="n"/>
      <c r="W23" s="15" t="n"/>
      <c r="X23" s="15" t="n"/>
      <c r="Y23" s="15" t="n"/>
      <c r="Z23" s="15" t="n"/>
      <c r="AA23" s="15" t="n"/>
      <c r="AB23" s="15" t="n"/>
      <c r="AC23" s="15" t="n"/>
      <c r="AD23" s="15" t="n"/>
      <c r="AE23" s="15" t="n"/>
      <c r="AF23" s="15" t="n"/>
      <c r="AG23" s="15" t="n"/>
      <c r="AH23" s="15" t="n"/>
      <c r="AI23" s="15" t="n"/>
      <c r="AJ23" s="15" t="n"/>
      <c r="AK23" s="15" t="n"/>
      <c r="AL23" s="15" t="n"/>
      <c r="AM23" s="15" t="n"/>
      <c r="AN23" s="15" t="n"/>
      <c r="AO23" s="15" t="n"/>
      <c r="AP23" s="15" t="n"/>
      <c r="AQ23" s="15" t="n"/>
      <c r="AR23" s="15" t="n"/>
      <c r="AS23" s="15" t="n"/>
      <c r="AT23" s="15" t="n"/>
      <c r="AU23" s="15" t="n"/>
      <c r="AV23" s="15" t="n"/>
      <c r="AW23" s="15" t="n"/>
      <c r="AX23" s="15" t="n"/>
      <c r="AY23" s="15" t="n"/>
      <c r="AZ23" s="15" t="n"/>
      <c r="BA23" s="15" t="n"/>
      <c r="BB23" s="15" t="n"/>
      <c r="BC23" s="15" t="n"/>
      <c r="BD23" s="15" t="n"/>
      <c r="BE23" s="15" t="n"/>
      <c r="BF23" s="15" t="n"/>
      <c r="BG23" s="15" t="n"/>
      <c r="BH23" s="15" t="n"/>
      <c r="BI23" s="15" t="n"/>
      <c r="BJ23" s="15" t="n"/>
      <c r="BK23" s="15" t="n"/>
      <c r="BL23" s="15" t="n"/>
      <c r="BM23" s="15" t="n"/>
      <c r="BN23" s="15" t="n"/>
      <c r="BO23" s="15" t="n"/>
      <c r="BP23" s="15" t="n"/>
      <c r="BQ23" s="15" t="n"/>
      <c r="BR23" s="15" t="n"/>
      <c r="BS23" s="15" t="n"/>
      <c r="BT23" s="15" t="n"/>
      <c r="BU23" s="15" t="n"/>
      <c r="BV23" s="15" t="n"/>
      <c r="BW23" s="15" t="n"/>
      <c r="BX23" s="15" t="n"/>
      <c r="BY23" s="15" t="n"/>
      <c r="BZ23" s="15" t="n"/>
      <c r="CA23" s="15" t="n"/>
      <c r="CB23" s="15" t="n"/>
      <c r="CC23" s="15" t="n"/>
      <c r="CD23" s="15" t="n"/>
      <c r="CE23" s="15" t="n"/>
      <c r="CF23" s="15" t="n"/>
      <c r="CG23" s="15" t="n"/>
      <c r="CH23" s="15" t="n"/>
      <c r="CI23" s="15" t="n"/>
      <c r="CJ23" s="15" t="n"/>
      <c r="CK23" s="15" t="n"/>
      <c r="CL23" s="15" t="n"/>
      <c r="CM23" s="15" t="n"/>
      <c r="CN23" s="15" t="n"/>
      <c r="CO23" s="15" t="n"/>
      <c r="CP23" s="15" t="n"/>
      <c r="CQ23" s="15" t="n"/>
      <c r="CR23" s="15" t="n"/>
      <c r="CS23" s="15" t="n"/>
      <c r="CT23" s="15" t="n"/>
      <c r="CU23" s="15" t="n"/>
      <c r="CV23" s="15" t="n"/>
      <c r="CW23" s="15" t="n"/>
      <c r="CX23" s="15" t="n"/>
      <c r="CY23" s="15" t="n"/>
      <c r="CZ23" s="15" t="n"/>
      <c r="DA23" s="15" t="n"/>
      <c r="DB23" s="15" t="n"/>
      <c r="DC23" s="15" t="n"/>
      <c r="DD23" s="15" t="n"/>
      <c r="DE23" s="15" t="n"/>
      <c r="DF23" s="15" t="n"/>
      <c r="DG23" s="15" t="n"/>
      <c r="DH23" s="15" t="n"/>
      <c r="DI23" s="15" t="n"/>
      <c r="DJ23" s="15" t="n"/>
      <c r="DK23" s="15" t="n"/>
      <c r="DL23" s="15" t="n"/>
    </row>
    <row r="24">
      <c r="A24" s="14" t="inlineStr">
        <is>
          <t>5(i-b)</t>
        </is>
      </c>
      <c r="B24" s="7" t="inlineStr">
        <is>
          <t>Advertisement / telecasting / broadcasting</t>
        </is>
      </c>
      <c r="C24" s="15" t="n"/>
      <c r="D24" s="15" t="n"/>
      <c r="E24" s="15" t="n"/>
      <c r="F24" s="15" t="n"/>
      <c r="G24" s="15" t="n"/>
      <c r="H24" s="15" t="n"/>
      <c r="I24" s="15" t="n"/>
      <c r="J24" s="15" t="n"/>
      <c r="K24" s="15" t="n"/>
      <c r="L24" s="15" t="n"/>
      <c r="M24" s="15" t="n"/>
      <c r="N24" s="15" t="n"/>
      <c r="O24" s="15" t="n"/>
      <c r="P24" s="15" t="n"/>
      <c r="Q24" s="15" t="n"/>
      <c r="R24" s="15" t="n"/>
      <c r="S24" s="15" t="n"/>
      <c r="T24" s="17" t="inlineStr">
        <is>
          <t>I</t>
        </is>
      </c>
      <c r="U24" s="15" t="n"/>
      <c r="V24" s="15" t="n"/>
      <c r="W24" s="15" t="n"/>
      <c r="X24" s="15" t="n"/>
      <c r="Y24" s="15" t="n"/>
      <c r="Z24" s="15" t="n"/>
      <c r="AA24" s="15" t="n"/>
      <c r="AB24" s="15" t="n"/>
      <c r="AC24" s="19" t="inlineStr">
        <is>
          <t>C</t>
        </is>
      </c>
      <c r="AD24" s="15" t="n"/>
      <c r="AE24" s="15" t="n"/>
      <c r="AF24" s="15" t="n"/>
      <c r="AG24" s="15" t="n"/>
      <c r="AH24" s="15" t="n"/>
      <c r="AI24" s="15" t="n"/>
      <c r="AJ24" s="15" t="n"/>
      <c r="AK24" s="15" t="n"/>
      <c r="AL24" s="15" t="n"/>
      <c r="AM24" s="15" t="n"/>
      <c r="AN24" s="15" t="n"/>
      <c r="AO24" s="15" t="n"/>
      <c r="AP24" s="15" t="n"/>
      <c r="AQ24" s="15" t="n"/>
      <c r="AR24" s="15" t="n"/>
      <c r="AS24" s="15" t="n"/>
      <c r="AT24" s="15" t="n"/>
      <c r="AU24" s="15" t="n"/>
      <c r="AV24" s="15" t="n"/>
      <c r="AW24" s="15" t="n"/>
      <c r="AX24" s="15" t="n"/>
      <c r="AY24" s="15" t="n"/>
      <c r="AZ24" s="15" t="n"/>
      <c r="BA24" s="15" t="n"/>
      <c r="BB24" s="15" t="n"/>
      <c r="BC24" s="15" t="n"/>
      <c r="BD24" s="15" t="n"/>
      <c r="BE24" s="15" t="n"/>
      <c r="BF24" s="15" t="n"/>
      <c r="BG24" s="15" t="n"/>
      <c r="BH24" s="15" t="n"/>
      <c r="BI24" s="15" t="n"/>
      <c r="BJ24" s="15" t="n"/>
      <c r="BK24" s="15" t="n"/>
      <c r="BL24" s="15" t="n"/>
      <c r="BM24" s="15" t="n"/>
      <c r="BN24" s="15" t="n"/>
      <c r="BO24" s="15" t="n"/>
      <c r="BP24" s="15" t="n"/>
      <c r="BQ24" s="15" t="n"/>
      <c r="BR24" s="15" t="n"/>
      <c r="BS24" s="15" t="n"/>
      <c r="BT24" s="15" t="n"/>
      <c r="BU24" s="15" t="n"/>
      <c r="BV24" s="15" t="n"/>
      <c r="BW24" s="15" t="n"/>
      <c r="BX24" s="15" t="n"/>
      <c r="BY24" s="15" t="n"/>
      <c r="BZ24" s="15" t="n"/>
      <c r="CA24" s="15" t="n"/>
      <c r="CB24" s="15" t="n"/>
      <c r="CC24" s="15" t="n"/>
      <c r="CD24" s="15" t="n"/>
      <c r="CE24" s="15" t="n"/>
      <c r="CF24" s="15" t="n"/>
      <c r="CG24" s="15" t="n"/>
      <c r="CH24" s="15" t="n"/>
      <c r="CI24" s="15" t="n"/>
      <c r="CJ24" s="15" t="n"/>
      <c r="CK24" s="15" t="n"/>
      <c r="CL24" s="15" t="n"/>
      <c r="CM24" s="15" t="n"/>
      <c r="CN24" s="15" t="n"/>
      <c r="CO24" s="15" t="n"/>
      <c r="CP24" s="15" t="n"/>
      <c r="CQ24" s="15" t="n"/>
      <c r="CR24" s="15" t="n"/>
      <c r="CS24" s="15" t="n"/>
      <c r="CT24" s="15" t="n"/>
      <c r="CU24" s="15" t="n"/>
      <c r="CV24" s="15" t="n"/>
      <c r="CW24" s="15" t="n"/>
      <c r="CX24" s="15" t="n"/>
      <c r="CY24" s="15" t="n"/>
      <c r="CZ24" s="15" t="n"/>
      <c r="DA24" s="15" t="n"/>
      <c r="DB24" s="15" t="n"/>
      <c r="DC24" s="15" t="n"/>
      <c r="DD24" s="15" t="n"/>
      <c r="DE24" s="15" t="n"/>
      <c r="DF24" s="15" t="n"/>
      <c r="DG24" s="15" t="n"/>
      <c r="DH24" s="15" t="n"/>
      <c r="DI24" s="15" t="n"/>
      <c r="DJ24" s="15" t="n"/>
      <c r="DK24" s="15" t="n"/>
      <c r="DL24" s="15" t="n"/>
    </row>
    <row r="25">
      <c r="A25" s="14" t="inlineStr">
        <is>
          <t>5(i-c)</t>
        </is>
      </c>
      <c r="B25" s="7" t="inlineStr">
        <is>
          <t>Assignment / transfer of IPR (patent, copyright, trademark)</t>
        </is>
      </c>
      <c r="C25" s="15" t="n"/>
      <c r="D25" s="15" t="n"/>
      <c r="E25" s="15" t="n"/>
      <c r="F25" s="15" t="n"/>
      <c r="G25" s="15" t="n"/>
      <c r="H25" s="15" t="n"/>
      <c r="I25" s="15" t="n"/>
      <c r="J25" s="15" t="n"/>
      <c r="K25" s="15" t="n"/>
      <c r="L25" s="15" t="n"/>
      <c r="M25" s="15" t="n"/>
      <c r="N25" s="15" t="n"/>
      <c r="O25" s="15" t="n"/>
      <c r="P25" s="15" t="n"/>
      <c r="Q25" s="15" t="n"/>
      <c r="R25" s="15" t="n"/>
      <c r="S25" s="15" t="n"/>
      <c r="T25" s="17" t="inlineStr">
        <is>
          <t>I</t>
        </is>
      </c>
      <c r="U25" s="15" t="n"/>
      <c r="V25" s="15" t="n"/>
      <c r="W25" s="15" t="n"/>
      <c r="X25" s="15" t="n"/>
      <c r="Y25" s="15" t="n"/>
      <c r="Z25" s="15" t="n"/>
      <c r="AA25" s="15" t="n"/>
      <c r="AB25" s="15" t="n"/>
      <c r="AC25" s="19" t="inlineStr">
        <is>
          <t>C</t>
        </is>
      </c>
      <c r="AD25" s="15" t="n"/>
      <c r="AE25" s="15" t="n"/>
      <c r="AF25" s="15" t="n"/>
      <c r="AG25" s="15" t="n"/>
      <c r="AH25" s="15" t="n"/>
      <c r="AI25" s="15" t="n"/>
      <c r="AJ25" s="15" t="n"/>
      <c r="AK25" s="15" t="n"/>
      <c r="AL25" s="15" t="n"/>
      <c r="AM25" s="15" t="n"/>
      <c r="AN25" s="15" t="n"/>
      <c r="AO25" s="15" t="n"/>
      <c r="AP25" s="15" t="n"/>
      <c r="AQ25" s="15" t="n"/>
      <c r="AR25" s="15" t="n"/>
      <c r="AS25" s="15" t="n"/>
      <c r="AT25" s="15" t="n"/>
      <c r="AU25" s="15" t="n"/>
      <c r="AV25" s="15" t="n"/>
      <c r="AW25" s="15" t="n"/>
      <c r="AX25" s="15" t="n"/>
      <c r="AY25" s="15" t="n"/>
      <c r="AZ25" s="15" t="n"/>
      <c r="BA25" s="15" t="n"/>
      <c r="BB25" s="15" t="n"/>
      <c r="BC25" s="15" t="n"/>
      <c r="BD25" s="15" t="n"/>
      <c r="BE25" s="15" t="n"/>
      <c r="BF25" s="15" t="n"/>
      <c r="BG25" s="15" t="n"/>
      <c r="BH25" s="15" t="n"/>
      <c r="BI25" s="15" t="n"/>
      <c r="BJ25" s="15" t="n"/>
      <c r="BK25" s="15" t="n"/>
      <c r="BL25" s="15" t="n"/>
      <c r="BM25" s="15" t="n"/>
      <c r="BN25" s="15" t="n"/>
      <c r="BO25" s="15" t="n"/>
      <c r="BP25" s="15" t="n"/>
      <c r="BQ25" s="15" t="n"/>
      <c r="BR25" s="15" t="n"/>
      <c r="BS25" s="15" t="n"/>
      <c r="BT25" s="15" t="n"/>
      <c r="BU25" s="15" t="n"/>
      <c r="BV25" s="15" t="n"/>
      <c r="BW25" s="15" t="n"/>
      <c r="BX25" s="15" t="n"/>
      <c r="BY25" s="15" t="n"/>
      <c r="BZ25" s="15" t="n"/>
      <c r="CA25" s="15" t="n"/>
      <c r="CB25" s="15" t="n"/>
      <c r="CC25" s="15" t="n"/>
      <c r="CD25" s="15" t="n"/>
      <c r="CE25" s="15" t="n"/>
      <c r="CF25" s="15" t="n"/>
      <c r="CG25" s="15" t="n"/>
      <c r="CH25" s="15" t="n"/>
      <c r="CI25" s="15" t="n"/>
      <c r="CJ25" s="15" t="n"/>
      <c r="CK25" s="15" t="n"/>
      <c r="CL25" s="15" t="n"/>
      <c r="CM25" s="15" t="n"/>
      <c r="CN25" s="15" t="n"/>
      <c r="CO25" s="15" t="n"/>
      <c r="CP25" s="15" t="n"/>
      <c r="CQ25" s="15" t="n"/>
      <c r="CR25" s="15" t="n"/>
      <c r="CS25" s="15" t="n"/>
      <c r="CT25" s="15" t="n"/>
      <c r="CU25" s="15" t="n"/>
      <c r="CV25" s="15" t="n"/>
      <c r="CW25" s="15" t="n"/>
      <c r="CX25" s="15" t="n"/>
      <c r="CY25" s="15" t="n"/>
      <c r="CZ25" s="15" t="n"/>
      <c r="DA25" s="15" t="n"/>
      <c r="DB25" s="15" t="n"/>
      <c r="DC25" s="15" t="n"/>
      <c r="DD25" s="15" t="n"/>
      <c r="DE25" s="15" t="n"/>
      <c r="DF25" s="15" t="n"/>
      <c r="DG25" s="15" t="n"/>
      <c r="DH25" s="15" t="n"/>
      <c r="DI25" s="15" t="n"/>
      <c r="DJ25" s="15" t="n"/>
      <c r="DK25" s="15" t="n"/>
      <c r="DL25" s="15" t="n"/>
    </row>
    <row r="26">
      <c r="A26" s="14" t="inlineStr">
        <is>
          <t>5(i-d)(i)</t>
        </is>
      </c>
      <c r="B26" s="7" t="inlineStr">
        <is>
          <t>Works contract - up to Rs.10 lakh</t>
        </is>
      </c>
      <c r="C26" s="15" t="n"/>
      <c r="D26" s="15" t="n"/>
      <c r="E26" s="15" t="n"/>
      <c r="F26" s="15" t="n"/>
      <c r="G26" s="15" t="n"/>
      <c r="H26" s="15" t="n"/>
      <c r="I26" s="15" t="n"/>
      <c r="J26" s="15" t="n"/>
      <c r="K26" s="15" t="n"/>
      <c r="L26" s="15" t="n"/>
      <c r="M26" s="15" t="n"/>
      <c r="N26" s="15" t="n"/>
      <c r="O26" s="15" t="n"/>
      <c r="P26" s="15" t="n"/>
      <c r="Q26" s="15" t="n"/>
      <c r="R26" s="15" t="n"/>
      <c r="S26" s="15" t="n"/>
      <c r="T26" s="17" t="inlineStr">
        <is>
          <t>I</t>
        </is>
      </c>
      <c r="U26" s="15" t="n"/>
      <c r="V26" s="15" t="n"/>
      <c r="W26" s="15" t="n"/>
      <c r="X26" s="15" t="n"/>
      <c r="Y26" s="15" t="n"/>
      <c r="Z26" s="15" t="n"/>
      <c r="AA26" s="15" t="n"/>
      <c r="AB26" s="15" t="n"/>
      <c r="AC26" s="16" t="inlineStr">
        <is>
          <t>I+C</t>
        </is>
      </c>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c r="BJ26" s="15" t="n"/>
      <c r="BK26" s="15" t="n"/>
      <c r="BL26" s="15" t="n"/>
      <c r="BM26" s="15" t="n"/>
      <c r="BN26" s="15" t="n"/>
      <c r="BO26" s="15" t="n"/>
      <c r="BP26" s="15" t="n"/>
      <c r="BQ26" s="15" t="n"/>
      <c r="BR26" s="15" t="n"/>
      <c r="BS26" s="15" t="n"/>
      <c r="BT26" s="15" t="n"/>
      <c r="BU26" s="15" t="n"/>
      <c r="BV26" s="15" t="n"/>
      <c r="BW26" s="15" t="n"/>
      <c r="BX26" s="15" t="n"/>
      <c r="BY26" s="15" t="n"/>
      <c r="BZ26" s="15" t="n"/>
      <c r="CA26" s="15" t="n"/>
      <c r="CB26" s="15" t="n"/>
      <c r="CC26" s="15" t="n"/>
      <c r="CD26" s="15" t="n"/>
      <c r="CE26" s="15" t="n"/>
      <c r="CF26" s="15" t="n"/>
      <c r="CG26" s="15" t="n"/>
      <c r="CH26" s="15" t="n"/>
      <c r="CI26" s="15" t="n"/>
      <c r="CJ26" s="15" t="n"/>
      <c r="CK26" s="15" t="n"/>
      <c r="CL26" s="15" t="n"/>
      <c r="CM26" s="15" t="n"/>
      <c r="CN26" s="15" t="n"/>
      <c r="CO26" s="15" t="n"/>
      <c r="CP26" s="15" t="n"/>
      <c r="CQ26" s="15" t="n"/>
      <c r="CR26" s="15" t="n"/>
      <c r="CS26" s="15" t="n"/>
      <c r="CT26" s="15" t="n"/>
      <c r="CU26" s="15" t="n"/>
      <c r="CV26" s="15" t="n"/>
      <c r="CW26" s="15" t="n"/>
      <c r="CX26" s="15" t="n"/>
      <c r="CY26" s="15" t="n"/>
      <c r="CZ26" s="15" t="n"/>
      <c r="DA26" s="15" t="n"/>
      <c r="DB26" s="15" t="n"/>
      <c r="DC26" s="15" t="n"/>
      <c r="DD26" s="15" t="n"/>
      <c r="DE26" s="15" t="n"/>
      <c r="DF26" s="15" t="n"/>
      <c r="DG26" s="15" t="n"/>
      <c r="DH26" s="15" t="n"/>
      <c r="DI26" s="15" t="n"/>
      <c r="DJ26" s="15" t="n"/>
      <c r="DK26" s="15" t="n"/>
      <c r="DL26" s="15" t="n"/>
    </row>
    <row r="27">
      <c r="A27" s="14" t="inlineStr">
        <is>
          <t>5(i-d)(ii)</t>
        </is>
      </c>
      <c r="B27" s="7" t="inlineStr">
        <is>
          <t>Works contract - above Rs.10 lakh</t>
        </is>
      </c>
      <c r="C27" s="15" t="n"/>
      <c r="D27" s="15" t="n"/>
      <c r="E27" s="15" t="n"/>
      <c r="F27" s="15" t="n"/>
      <c r="G27" s="15" t="n"/>
      <c r="H27" s="15" t="n"/>
      <c r="I27" s="15" t="n"/>
      <c r="J27" s="15" t="n"/>
      <c r="K27" s="15" t="n"/>
      <c r="L27" s="15" t="n"/>
      <c r="M27" s="15" t="n"/>
      <c r="N27" s="15" t="n"/>
      <c r="O27" s="15" t="n"/>
      <c r="P27" s="15" t="n"/>
      <c r="Q27" s="15" t="n"/>
      <c r="R27" s="15" t="n"/>
      <c r="S27" s="15" t="n"/>
      <c r="T27" s="17" t="inlineStr">
        <is>
          <t>I</t>
        </is>
      </c>
      <c r="U27" s="15" t="n"/>
      <c r="V27" s="15" t="n"/>
      <c r="W27" s="15" t="n"/>
      <c r="X27" s="15" t="n"/>
      <c r="Y27" s="15" t="n"/>
      <c r="Z27" s="15" t="n"/>
      <c r="AA27" s="15" t="n"/>
      <c r="AB27" s="15" t="n"/>
      <c r="AC27" s="16" t="inlineStr">
        <is>
          <t>I+C</t>
        </is>
      </c>
      <c r="AD27" s="15" t="n"/>
      <c r="AE27" s="15" t="n"/>
      <c r="AF27" s="15" t="n"/>
      <c r="AG27" s="15" t="n"/>
      <c r="AH27" s="15" t="n"/>
      <c r="AI27" s="15" t="n"/>
      <c r="AJ27" s="15" t="n"/>
      <c r="AK27" s="15" t="n"/>
      <c r="AL27" s="15" t="n"/>
      <c r="AM27" s="15" t="n"/>
      <c r="AN27" s="15" t="n"/>
      <c r="AO27" s="15" t="n"/>
      <c r="AP27" s="15" t="n"/>
      <c r="AQ27" s="15" t="n"/>
      <c r="AR27" s="15" t="n"/>
      <c r="AS27" s="15" t="n"/>
      <c r="AT27" s="15" t="n"/>
      <c r="AU27" s="15" t="n"/>
      <c r="AV27" s="15" t="n"/>
      <c r="AW27" s="15" t="n"/>
      <c r="AX27" s="15" t="n"/>
      <c r="AY27" s="15" t="n"/>
      <c r="AZ27" s="15" t="n"/>
      <c r="BA27" s="15" t="n"/>
      <c r="BB27" s="15" t="n"/>
      <c r="BC27" s="15" t="n"/>
      <c r="BD27" s="15" t="n"/>
      <c r="BE27" s="15" t="n"/>
      <c r="BF27" s="15" t="n"/>
      <c r="BG27" s="15" t="n"/>
      <c r="BH27" s="15" t="n"/>
      <c r="BI27" s="15" t="n"/>
      <c r="BJ27" s="15" t="n"/>
      <c r="BK27" s="15" t="n"/>
      <c r="BL27" s="15" t="n"/>
      <c r="BM27" s="15" t="n"/>
      <c r="BN27" s="15" t="n"/>
      <c r="BO27" s="15" t="n"/>
      <c r="BP27" s="15" t="n"/>
      <c r="BQ27" s="15" t="n"/>
      <c r="BR27" s="15" t="n"/>
      <c r="BS27" s="15" t="n"/>
      <c r="BT27" s="15" t="n"/>
      <c r="BU27" s="15" t="n"/>
      <c r="BV27" s="15" t="n"/>
      <c r="BW27" s="15" t="n"/>
      <c r="BX27" s="15" t="n"/>
      <c r="BY27" s="15" t="n"/>
      <c r="BZ27" s="15" t="n"/>
      <c r="CA27" s="15" t="n"/>
      <c r="CB27" s="15" t="n"/>
      <c r="CC27" s="15" t="n"/>
      <c r="CD27" s="15" t="n"/>
      <c r="CE27" s="15" t="n"/>
      <c r="CF27" s="15" t="n"/>
      <c r="CG27" s="15" t="n"/>
      <c r="CH27" s="15" t="n"/>
      <c r="CI27" s="15" t="n"/>
      <c r="CJ27" s="15" t="n"/>
      <c r="CK27" s="15" t="n"/>
      <c r="CL27" s="15" t="n"/>
      <c r="CM27" s="15" t="n"/>
      <c r="CN27" s="15" t="n"/>
      <c r="CO27" s="15" t="n"/>
      <c r="CP27" s="15" t="n"/>
      <c r="CQ27" s="15" t="n"/>
      <c r="CR27" s="15" t="n"/>
      <c r="CS27" s="15" t="n"/>
      <c r="CT27" s="15" t="n"/>
      <c r="CU27" s="15" t="n"/>
      <c r="CV27" s="15" t="n"/>
      <c r="CW27" s="15" t="n"/>
      <c r="CX27" s="15" t="n"/>
      <c r="CY27" s="15" t="n"/>
      <c r="CZ27" s="15" t="n"/>
      <c r="DA27" s="15" t="n"/>
      <c r="DB27" s="15" t="n"/>
      <c r="DC27" s="15" t="n"/>
      <c r="DD27" s="15" t="n"/>
      <c r="DE27" s="15" t="n"/>
      <c r="DF27" s="15" t="n"/>
      <c r="DG27" s="15" t="n"/>
      <c r="DH27" s="15" t="n"/>
      <c r="DI27" s="15" t="n"/>
      <c r="DJ27" s="15" t="n"/>
      <c r="DK27" s="15" t="n"/>
      <c r="DL27" s="15" t="n"/>
    </row>
    <row r="28">
      <c r="A28" s="14" t="inlineStr">
        <is>
          <t>5(i-e)(i)</t>
        </is>
      </c>
      <c r="B28" s="7" t="inlineStr">
        <is>
          <t>Chit agreement - chit value up to Rs.1 lakh</t>
        </is>
      </c>
      <c r="C28" s="15" t="n"/>
      <c r="D28" s="15" t="n"/>
      <c r="E28" s="15" t="n"/>
      <c r="F28" s="15" t="n"/>
      <c r="G28" s="15" t="n"/>
      <c r="H28" s="15" t="n"/>
      <c r="I28" s="15" t="n"/>
      <c r="J28" s="15" t="n"/>
      <c r="K28" s="15" t="n"/>
      <c r="L28" s="15" t="n"/>
      <c r="M28" s="15" t="n"/>
      <c r="N28" s="15" t="n"/>
      <c r="O28" s="15" t="n"/>
      <c r="P28" s="15" t="n"/>
      <c r="Q28" s="15" t="n"/>
      <c r="R28" s="15" t="n"/>
      <c r="S28" s="15" t="n"/>
      <c r="T28" s="17" t="inlineStr">
        <is>
          <t>I</t>
        </is>
      </c>
      <c r="U28" s="15" t="n"/>
      <c r="V28" s="15" t="n"/>
      <c r="W28" s="15" t="n"/>
      <c r="X28" s="15" t="n"/>
      <c r="Y28" s="15" t="n"/>
      <c r="Z28" s="15" t="n"/>
      <c r="AA28" s="15" t="n"/>
      <c r="AB28" s="16" t="inlineStr">
        <is>
          <t>I+C</t>
        </is>
      </c>
      <c r="AC28" s="15" t="n"/>
      <c r="AD28" s="15" t="n"/>
      <c r="AE28" s="15" t="n"/>
      <c r="AF28" s="15" t="n"/>
      <c r="AG28" s="15" t="n"/>
      <c r="AH28" s="15" t="n"/>
      <c r="AI28" s="15" t="n"/>
      <c r="AJ28" s="15" t="n"/>
      <c r="AK28" s="15" t="n"/>
      <c r="AL28" s="15" t="n"/>
      <c r="AM28" s="15" t="n"/>
      <c r="AN28" s="15" t="n"/>
      <c r="AO28" s="15" t="n"/>
      <c r="AP28" s="15" t="n"/>
      <c r="AQ28" s="15" t="n"/>
      <c r="AR28" s="15" t="n"/>
      <c r="AS28" s="15" t="n"/>
      <c r="AT28" s="15" t="n"/>
      <c r="AU28" s="15" t="n"/>
      <c r="AV28" s="15" t="n"/>
      <c r="AW28" s="15" t="n"/>
      <c r="AX28" s="15" t="n"/>
      <c r="AY28" s="15" t="n"/>
      <c r="AZ28" s="15" t="n"/>
      <c r="BA28" s="15" t="n"/>
      <c r="BB28" s="15" t="n"/>
      <c r="BC28" s="15" t="n"/>
      <c r="BD28" s="15" t="n"/>
      <c r="BE28" s="15" t="n"/>
      <c r="BF28" s="15" t="n"/>
      <c r="BG28" s="15" t="n"/>
      <c r="BH28" s="15" t="n"/>
      <c r="BI28" s="15" t="n"/>
      <c r="BJ28" s="15" t="n"/>
      <c r="BK28" s="15" t="n"/>
      <c r="BL28" s="15" t="n"/>
      <c r="BM28" s="15" t="n"/>
      <c r="BN28" s="15" t="n"/>
      <c r="BO28" s="15" t="n"/>
      <c r="BP28" s="15" t="n"/>
      <c r="BQ28" s="15" t="n"/>
      <c r="BR28" s="15" t="n"/>
      <c r="BS28" s="15" t="n"/>
      <c r="BT28" s="15" t="n"/>
      <c r="BU28" s="15" t="n"/>
      <c r="BV28" s="15" t="n"/>
      <c r="BW28" s="15" t="n"/>
      <c r="BX28" s="15" t="n"/>
      <c r="BY28" s="15" t="n"/>
      <c r="BZ28" s="15" t="n"/>
      <c r="CA28" s="15" t="n"/>
      <c r="CB28" s="15" t="n"/>
      <c r="CC28" s="15" t="n"/>
      <c r="CD28" s="15" t="n"/>
      <c r="CE28" s="15" t="n"/>
      <c r="CF28" s="15" t="n"/>
      <c r="CG28" s="15" t="n"/>
      <c r="CH28" s="15" t="n"/>
      <c r="CI28" s="15" t="n"/>
      <c r="CJ28" s="15" t="n"/>
      <c r="CK28" s="15" t="n"/>
      <c r="CL28" s="15" t="n"/>
      <c r="CM28" s="15" t="n"/>
      <c r="CN28" s="15" t="n"/>
      <c r="CO28" s="15" t="n"/>
      <c r="CP28" s="15" t="n"/>
      <c r="CQ28" s="15" t="n"/>
      <c r="CR28" s="15" t="n"/>
      <c r="CS28" s="15" t="n"/>
      <c r="CT28" s="15" t="n"/>
      <c r="CU28" s="15" t="n"/>
      <c r="CV28" s="15" t="n"/>
      <c r="CW28" s="15" t="n"/>
      <c r="CX28" s="15" t="n"/>
      <c r="CY28" s="15" t="n"/>
      <c r="CZ28" s="15" t="n"/>
      <c r="DA28" s="15" t="n"/>
      <c r="DB28" s="15" t="n"/>
      <c r="DC28" s="15" t="n"/>
      <c r="DD28" s="15" t="n"/>
      <c r="DE28" s="15" t="n"/>
      <c r="DF28" s="15" t="n"/>
      <c r="DG28" s="15" t="n"/>
      <c r="DH28" s="15" t="n"/>
      <c r="DI28" s="15" t="n"/>
      <c r="DJ28" s="15" t="n"/>
      <c r="DK28" s="15" t="n"/>
      <c r="DL28" s="15" t="n"/>
    </row>
    <row r="29">
      <c r="A29" s="14" t="inlineStr">
        <is>
          <t>5(i-e)(ii)</t>
        </is>
      </c>
      <c r="B29" s="7" t="inlineStr">
        <is>
          <t>Chit agreement - chit value above Rs.1 lakh</t>
        </is>
      </c>
      <c r="C29" s="15" t="n"/>
      <c r="D29" s="15" t="n"/>
      <c r="E29" s="15" t="n"/>
      <c r="F29" s="15" t="n"/>
      <c r="G29" s="15" t="n"/>
      <c r="H29" s="15" t="n"/>
      <c r="I29" s="15" t="n"/>
      <c r="J29" s="15" t="n"/>
      <c r="K29" s="15" t="n"/>
      <c r="L29" s="15" t="n"/>
      <c r="M29" s="15" t="n"/>
      <c r="N29" s="15" t="n"/>
      <c r="O29" s="15" t="n"/>
      <c r="P29" s="15" t="n"/>
      <c r="Q29" s="15" t="n"/>
      <c r="R29" s="15" t="n"/>
      <c r="S29" s="15" t="n"/>
      <c r="T29" s="17" t="inlineStr">
        <is>
          <t>I</t>
        </is>
      </c>
      <c r="U29" s="15" t="n"/>
      <c r="V29" s="15" t="n"/>
      <c r="W29" s="15" t="n"/>
      <c r="X29" s="15" t="n"/>
      <c r="Y29" s="15" t="n"/>
      <c r="Z29" s="15" t="n"/>
      <c r="AA29" s="15" t="n"/>
      <c r="AB29" s="16" t="inlineStr">
        <is>
          <t>I+C</t>
        </is>
      </c>
      <c r="AC29" s="15" t="n"/>
      <c r="AD29" s="15" t="n"/>
      <c r="AE29" s="15" t="n"/>
      <c r="AF29" s="15" t="n"/>
      <c r="AG29" s="15" t="n"/>
      <c r="AH29" s="15" t="n"/>
      <c r="AI29" s="15" t="n"/>
      <c r="AJ29" s="15" t="n"/>
      <c r="AK29" s="15" t="n"/>
      <c r="AL29" s="15" t="n"/>
      <c r="AM29" s="15" t="n"/>
      <c r="AN29" s="15" t="n"/>
      <c r="AO29" s="15" t="n"/>
      <c r="AP29" s="15" t="n"/>
      <c r="AQ29" s="15" t="n"/>
      <c r="AR29" s="15" t="n"/>
      <c r="AS29" s="15" t="n"/>
      <c r="AT29" s="15" t="n"/>
      <c r="AU29" s="15" t="n"/>
      <c r="AV29" s="15" t="n"/>
      <c r="AW29" s="15" t="n"/>
      <c r="AX29" s="15" t="n"/>
      <c r="AY29" s="15" t="n"/>
      <c r="AZ29" s="15" t="n"/>
      <c r="BA29" s="15" t="n"/>
      <c r="BB29" s="15" t="n"/>
      <c r="BC29" s="15" t="n"/>
      <c r="BD29" s="15" t="n"/>
      <c r="BE29" s="15" t="n"/>
      <c r="BF29" s="15" t="n"/>
      <c r="BG29" s="15" t="n"/>
      <c r="BH29" s="15" t="n"/>
      <c r="BI29" s="15" t="n"/>
      <c r="BJ29" s="15" t="n"/>
      <c r="BK29" s="15" t="n"/>
      <c r="BL29" s="15" t="n"/>
      <c r="BM29" s="15" t="n"/>
      <c r="BN29" s="15" t="n"/>
      <c r="BO29" s="15" t="n"/>
      <c r="BP29" s="15" t="n"/>
      <c r="BQ29" s="15" t="n"/>
      <c r="BR29" s="15" t="n"/>
      <c r="BS29" s="15" t="n"/>
      <c r="BT29" s="15" t="n"/>
      <c r="BU29" s="15" t="n"/>
      <c r="BV29" s="15" t="n"/>
      <c r="BW29" s="15" t="n"/>
      <c r="BX29" s="15" t="n"/>
      <c r="BY29" s="15" t="n"/>
      <c r="BZ29" s="15" t="n"/>
      <c r="CA29" s="15" t="n"/>
      <c r="CB29" s="15" t="n"/>
      <c r="CC29" s="15" t="n"/>
      <c r="CD29" s="15" t="n"/>
      <c r="CE29" s="15" t="n"/>
      <c r="CF29" s="15" t="n"/>
      <c r="CG29" s="15" t="n"/>
      <c r="CH29" s="15" t="n"/>
      <c r="CI29" s="15" t="n"/>
      <c r="CJ29" s="15" t="n"/>
      <c r="CK29" s="15" t="n"/>
      <c r="CL29" s="15" t="n"/>
      <c r="CM29" s="15" t="n"/>
      <c r="CN29" s="15" t="n"/>
      <c r="CO29" s="15" t="n"/>
      <c r="CP29" s="15" t="n"/>
      <c r="CQ29" s="15" t="n"/>
      <c r="CR29" s="15" t="n"/>
      <c r="CS29" s="15" t="n"/>
      <c r="CT29" s="15" t="n"/>
      <c r="CU29" s="15" t="n"/>
      <c r="CV29" s="15" t="n"/>
      <c r="CW29" s="15" t="n"/>
      <c r="CX29" s="15" t="n"/>
      <c r="CY29" s="15" t="n"/>
      <c r="CZ29" s="15" t="n"/>
      <c r="DA29" s="15" t="n"/>
      <c r="DB29" s="15" t="n"/>
      <c r="DC29" s="15" t="n"/>
      <c r="DD29" s="15" t="n"/>
      <c r="DE29" s="15" t="n"/>
      <c r="DF29" s="15" t="n"/>
      <c r="DG29" s="15" t="n"/>
      <c r="DH29" s="15" t="n"/>
      <c r="DI29" s="15" t="n"/>
      <c r="DJ29" s="15" t="n"/>
      <c r="DK29" s="15" t="n"/>
      <c r="DL29" s="15" t="n"/>
    </row>
    <row r="30">
      <c r="A30" s="14" t="inlineStr">
        <is>
          <t>5(j)</t>
        </is>
      </c>
      <c r="B30" s="7" t="inlineStr">
        <is>
          <t>Agreement not otherwise provided for</t>
        </is>
      </c>
      <c r="C30" s="15" t="n"/>
      <c r="D30" s="15" t="n"/>
      <c r="E30" s="15" t="n"/>
      <c r="F30" s="15" t="n"/>
      <c r="G30" s="15" t="n"/>
      <c r="H30" s="15" t="n"/>
      <c r="I30" s="15" t="n"/>
      <c r="J30" s="15" t="n"/>
      <c r="K30" s="15" t="n"/>
      <c r="L30" s="15" t="n"/>
      <c r="M30" s="15" t="n"/>
      <c r="N30" s="15" t="n"/>
      <c r="O30" s="15" t="n"/>
      <c r="P30" s="15" t="n"/>
      <c r="Q30" s="15" t="n"/>
      <c r="R30" s="15" t="n"/>
      <c r="S30" s="15" t="n"/>
      <c r="T30" s="17" t="inlineStr">
        <is>
          <t>I</t>
        </is>
      </c>
      <c r="U30" s="15" t="n"/>
      <c r="V30" s="15" t="n"/>
      <c r="W30" s="15" t="n"/>
      <c r="X30" s="15" t="n"/>
      <c r="Y30" s="15" t="n"/>
      <c r="Z30" s="15" t="n"/>
      <c r="AA30" s="15" t="n"/>
      <c r="AB30" s="15" t="n"/>
      <c r="AC30" s="15" t="n"/>
      <c r="AD30" s="15" t="n"/>
      <c r="AE30" s="15" t="n"/>
      <c r="AF30" s="15" t="n"/>
      <c r="AG30" s="15" t="n"/>
      <c r="AH30" s="15" t="n"/>
      <c r="AI30" s="15" t="n"/>
      <c r="AJ30" s="15" t="n"/>
      <c r="AK30" s="15" t="n"/>
      <c r="AL30" s="15" t="n"/>
      <c r="AM30" s="15" t="n"/>
      <c r="AN30" s="15" t="n"/>
      <c r="AO30" s="15" t="n"/>
      <c r="AP30" s="15" t="n"/>
      <c r="AQ30" s="15" t="n"/>
      <c r="AR30" s="15" t="n"/>
      <c r="AS30" s="15" t="n"/>
      <c r="AT30" s="15" t="n"/>
      <c r="AU30" s="15" t="n"/>
      <c r="AV30" s="15" t="n"/>
      <c r="AW30" s="15" t="n"/>
      <c r="AX30" s="15" t="n"/>
      <c r="AY30" s="15" t="n"/>
      <c r="AZ30" s="15" t="n"/>
      <c r="BA30" s="15" t="n"/>
      <c r="BB30" s="15" t="n"/>
      <c r="BC30" s="15" t="n"/>
      <c r="BD30" s="15" t="n"/>
      <c r="BE30" s="15" t="n"/>
      <c r="BF30" s="15" t="n"/>
      <c r="BG30" s="15" t="n"/>
      <c r="BH30" s="15" t="n"/>
      <c r="BI30" s="15" t="n"/>
      <c r="BJ30" s="15" t="n"/>
      <c r="BK30" s="15" t="n"/>
      <c r="BL30" s="15" t="n"/>
      <c r="BM30" s="15" t="n"/>
      <c r="BN30" s="15" t="n"/>
      <c r="BO30" s="15" t="n"/>
      <c r="BP30" s="15" t="n"/>
      <c r="BQ30" s="15" t="n"/>
      <c r="BR30" s="15" t="n"/>
      <c r="BS30" s="15" t="n"/>
      <c r="BT30" s="15" t="n"/>
      <c r="BU30" s="15" t="n"/>
      <c r="BV30" s="15" t="n"/>
      <c r="BW30" s="15" t="n"/>
      <c r="BX30" s="15" t="n"/>
      <c r="BY30" s="15" t="n"/>
      <c r="BZ30" s="15" t="n"/>
      <c r="CA30" s="15" t="n"/>
      <c r="CB30" s="15" t="n"/>
      <c r="CC30" s="15" t="n"/>
      <c r="CD30" s="15" t="n"/>
      <c r="CE30" s="15" t="n"/>
      <c r="CF30" s="15" t="n"/>
      <c r="CG30" s="15" t="n"/>
      <c r="CH30" s="15" t="n"/>
      <c r="CI30" s="15" t="n"/>
      <c r="CJ30" s="15" t="n"/>
      <c r="CK30" s="15" t="n"/>
      <c r="CL30" s="15" t="n"/>
      <c r="CM30" s="15" t="n"/>
      <c r="CN30" s="15" t="n"/>
      <c r="CO30" s="15" t="n"/>
      <c r="CP30" s="15" t="n"/>
      <c r="CQ30" s="15" t="n"/>
      <c r="CR30" s="15" t="n"/>
      <c r="CS30" s="15" t="n"/>
      <c r="CT30" s="15" t="n"/>
      <c r="CU30" s="15" t="n"/>
      <c r="CV30" s="15" t="n"/>
      <c r="CW30" s="15" t="n"/>
      <c r="CX30" s="15" t="n"/>
      <c r="CY30" s="15" t="n"/>
      <c r="CZ30" s="15" t="n"/>
      <c r="DA30" s="15" t="n"/>
      <c r="DB30" s="15" t="n"/>
      <c r="DC30" s="15" t="n"/>
      <c r="DD30" s="15" t="n"/>
      <c r="DE30" s="15" t="n"/>
      <c r="DF30" s="15" t="n"/>
      <c r="DG30" s="15" t="n"/>
      <c r="DH30" s="15" t="n"/>
      <c r="DI30" s="15" t="n"/>
      <c r="DJ30" s="15" t="n"/>
      <c r="DK30" s="15" t="n"/>
      <c r="DL30" s="15" t="n"/>
    </row>
    <row r="31">
      <c r="A31" s="14" t="inlineStr">
        <is>
          <t>6(1)(i)</t>
        </is>
      </c>
      <c r="B31" s="7" t="inlineStr">
        <is>
          <t>Deposit of title deeds - loan up to Rs.10 lakh</t>
        </is>
      </c>
      <c r="C31" s="15" t="n"/>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c r="AI31" s="16" t="inlineStr">
        <is>
          <t>I+C</t>
        </is>
      </c>
      <c r="AJ31" s="17" t="inlineStr">
        <is>
          <t>I</t>
        </is>
      </c>
      <c r="AK31" s="17" t="inlineStr">
        <is>
          <t>I</t>
        </is>
      </c>
      <c r="AL31" s="15" t="n"/>
      <c r="AM31" s="15" t="n"/>
      <c r="AN31" s="15" t="n"/>
      <c r="AO31" s="15" t="n"/>
      <c r="AP31" s="15" t="n"/>
      <c r="AQ31" s="15" t="n"/>
      <c r="AR31" s="15" t="n"/>
      <c r="AS31" s="15" t="n"/>
      <c r="AT31" s="15" t="n"/>
      <c r="AU31" s="15" t="n"/>
      <c r="AV31" s="15" t="n"/>
      <c r="AW31" s="15" t="n"/>
      <c r="AX31" s="15" t="n"/>
      <c r="AY31" s="15" t="n"/>
      <c r="AZ31" s="15" t="n"/>
      <c r="BA31" s="15" t="n"/>
      <c r="BB31" s="15" t="n"/>
      <c r="BC31" s="15" t="n"/>
      <c r="BD31" s="15" t="n"/>
      <c r="BE31" s="15" t="n"/>
      <c r="BF31" s="15" t="n"/>
      <c r="BG31" s="15" t="n"/>
      <c r="BH31" s="15" t="n"/>
      <c r="BI31" s="15" t="n"/>
      <c r="BJ31" s="15" t="n"/>
      <c r="BK31" s="15" t="n"/>
      <c r="BL31" s="15" t="n"/>
      <c r="BM31" s="15" t="n"/>
      <c r="BN31" s="15" t="n"/>
      <c r="BO31" s="15" t="n"/>
      <c r="BP31" s="15" t="n"/>
      <c r="BQ31" s="15" t="n"/>
      <c r="BR31" s="15" t="n"/>
      <c r="BS31" s="15" t="n"/>
      <c r="BT31" s="15" t="n"/>
      <c r="BU31" s="15" t="n"/>
      <c r="BV31" s="15" t="n"/>
      <c r="BW31" s="15" t="n"/>
      <c r="BX31" s="15" t="n"/>
      <c r="BY31" s="15" t="n"/>
      <c r="BZ31" s="15" t="n"/>
      <c r="CA31" s="15" t="n"/>
      <c r="CB31" s="15" t="n"/>
      <c r="CC31" s="15" t="n"/>
      <c r="CD31" s="15" t="n"/>
      <c r="CE31" s="15" t="n"/>
      <c r="CF31" s="15" t="n"/>
      <c r="CG31" s="15" t="n"/>
      <c r="CH31" s="15" t="n"/>
      <c r="CI31" s="15" t="n"/>
      <c r="CJ31" s="15" t="n"/>
      <c r="CK31" s="15" t="n"/>
      <c r="CL31" s="15" t="n"/>
      <c r="CM31" s="15" t="n"/>
      <c r="CN31" s="15" t="n"/>
      <c r="CO31" s="15" t="n"/>
      <c r="CP31" s="15" t="n"/>
      <c r="CQ31" s="15" t="n"/>
      <c r="CR31" s="15" t="n"/>
      <c r="CS31" s="15" t="n"/>
      <c r="CT31" s="15" t="n"/>
      <c r="CU31" s="15" t="n"/>
      <c r="CV31" s="15" t="n"/>
      <c r="CW31" s="15" t="n"/>
      <c r="CX31" s="15" t="n"/>
      <c r="CY31" s="15" t="n"/>
      <c r="CZ31" s="15" t="n"/>
      <c r="DA31" s="15" t="n"/>
      <c r="DB31" s="15" t="n"/>
      <c r="DC31" s="15" t="n"/>
      <c r="DD31" s="15" t="n"/>
      <c r="DE31" s="15" t="n"/>
      <c r="DF31" s="15" t="n"/>
      <c r="DG31" s="15" t="n"/>
      <c r="DH31" s="15" t="n"/>
      <c r="DI31" s="15" t="n"/>
      <c r="DJ31" s="15" t="n"/>
      <c r="DK31" s="15" t="n"/>
      <c r="DL31" s="15" t="n"/>
    </row>
    <row r="32">
      <c r="A32" s="14" t="inlineStr">
        <is>
          <t>6(1)(ii)</t>
        </is>
      </c>
      <c r="B32" s="7" t="inlineStr">
        <is>
          <t>Deposit of title deeds - loan above Rs.10 lakh</t>
        </is>
      </c>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c r="AH32" s="15" t="n"/>
      <c r="AI32" s="16" t="inlineStr">
        <is>
          <t>I+C</t>
        </is>
      </c>
      <c r="AJ32" s="17" t="inlineStr">
        <is>
          <t>I</t>
        </is>
      </c>
      <c r="AK32" s="17" t="inlineStr">
        <is>
          <t>I</t>
        </is>
      </c>
      <c r="AL32" s="15" t="n"/>
      <c r="AM32" s="15" t="n"/>
      <c r="AN32" s="15" t="n"/>
      <c r="AO32" s="15" t="n"/>
      <c r="AP32" s="15" t="n"/>
      <c r="AQ32" s="15" t="n"/>
      <c r="AR32" s="15" t="n"/>
      <c r="AS32" s="15" t="n"/>
      <c r="AT32" s="15" t="n"/>
      <c r="AU32" s="15" t="n"/>
      <c r="AV32" s="15" t="n"/>
      <c r="AW32" s="15" t="n"/>
      <c r="AX32" s="15" t="n"/>
      <c r="AY32" s="15" t="n"/>
      <c r="AZ32" s="15" t="n"/>
      <c r="BA32" s="15" t="n"/>
      <c r="BB32" s="15" t="n"/>
      <c r="BC32" s="15" t="n"/>
      <c r="BD32" s="15" t="n"/>
      <c r="BE32" s="15" t="n"/>
      <c r="BF32" s="15" t="n"/>
      <c r="BG32" s="15" t="n"/>
      <c r="BH32" s="15" t="n"/>
      <c r="BI32" s="15" t="n"/>
      <c r="BJ32" s="15" t="n"/>
      <c r="BK32" s="15" t="n"/>
      <c r="BL32" s="15" t="n"/>
      <c r="BM32" s="15" t="n"/>
      <c r="BN32" s="15" t="n"/>
      <c r="BO32" s="15" t="n"/>
      <c r="BP32" s="15" t="n"/>
      <c r="BQ32" s="15" t="n"/>
      <c r="BR32" s="15" t="n"/>
      <c r="BS32" s="15" t="n"/>
      <c r="BT32" s="15" t="n"/>
      <c r="BU32" s="15" t="n"/>
      <c r="BV32" s="15" t="n"/>
      <c r="BW32" s="15" t="n"/>
      <c r="BX32" s="15" t="n"/>
      <c r="BY32" s="15" t="n"/>
      <c r="BZ32" s="15" t="n"/>
      <c r="CA32" s="15" t="n"/>
      <c r="CB32" s="15" t="n"/>
      <c r="CC32" s="15" t="n"/>
      <c r="CD32" s="15" t="n"/>
      <c r="CE32" s="15" t="n"/>
      <c r="CF32" s="15" t="n"/>
      <c r="CG32" s="15" t="n"/>
      <c r="CH32" s="15" t="n"/>
      <c r="CI32" s="15" t="n"/>
      <c r="CJ32" s="15" t="n"/>
      <c r="CK32" s="15" t="n"/>
      <c r="CL32" s="15" t="n"/>
      <c r="CM32" s="15" t="n"/>
      <c r="CN32" s="15" t="n"/>
      <c r="CO32" s="15" t="n"/>
      <c r="CP32" s="15" t="n"/>
      <c r="CQ32" s="15" t="n"/>
      <c r="CR32" s="15" t="n"/>
      <c r="CS32" s="15" t="n"/>
      <c r="CT32" s="15" t="n"/>
      <c r="CU32" s="15" t="n"/>
      <c r="CV32" s="15" t="n"/>
      <c r="CW32" s="15" t="n"/>
      <c r="CX32" s="15" t="n"/>
      <c r="CY32" s="15" t="n"/>
      <c r="CZ32" s="15" t="n"/>
      <c r="DA32" s="15" t="n"/>
      <c r="DB32" s="15" t="n"/>
      <c r="DC32" s="15" t="n"/>
      <c r="DD32" s="15" t="n"/>
      <c r="DE32" s="15" t="n"/>
      <c r="DF32" s="15" t="n"/>
      <c r="DG32" s="15" t="n"/>
      <c r="DH32" s="15" t="n"/>
      <c r="DI32" s="15" t="n"/>
      <c r="DJ32" s="15" t="n"/>
      <c r="DK32" s="15" t="n"/>
      <c r="DL32" s="15" t="n"/>
    </row>
    <row r="33">
      <c r="A33" s="14" t="inlineStr">
        <is>
          <t>6(2)-Exempt</t>
        </is>
      </c>
      <c r="B33" s="7" t="inlineStr">
        <is>
          <t>Pawn / pledge of goods or jewels - loan up to Rs.1 lakh</t>
        </is>
      </c>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c r="AH33" s="15" t="n"/>
      <c r="AI33" s="17" t="inlineStr">
        <is>
          <t>I</t>
        </is>
      </c>
      <c r="AJ33" s="15" t="n"/>
      <c r="AK33" s="15" t="n"/>
      <c r="AL33" s="15" t="n"/>
      <c r="AM33" s="15" t="n"/>
      <c r="AN33" s="15" t="n"/>
      <c r="AO33" s="15" t="n"/>
      <c r="AP33" s="15" t="n"/>
      <c r="AQ33" s="15" t="n"/>
      <c r="AR33" s="15" t="n"/>
      <c r="AS33" s="15" t="n"/>
      <c r="AT33" s="15" t="n"/>
      <c r="AU33" s="17" t="inlineStr">
        <is>
          <t>I</t>
        </is>
      </c>
      <c r="AV33" s="15" t="n"/>
      <c r="AW33" s="15" t="n"/>
      <c r="AX33" s="15" t="n"/>
      <c r="AY33" s="15" t="n"/>
      <c r="AZ33" s="15" t="n"/>
      <c r="BA33" s="15" t="n"/>
      <c r="BB33" s="15" t="n"/>
      <c r="BC33" s="15" t="n"/>
      <c r="BD33" s="15" t="n"/>
      <c r="BE33" s="15" t="n"/>
      <c r="BF33" s="15" t="n"/>
      <c r="BG33" s="15" t="n"/>
      <c r="BH33" s="15" t="n"/>
      <c r="BI33" s="15" t="n"/>
      <c r="BJ33" s="15" t="n"/>
      <c r="BK33" s="15" t="n"/>
      <c r="BL33" s="15" t="n"/>
      <c r="BM33" s="15" t="n"/>
      <c r="BN33" s="15" t="n"/>
      <c r="BO33" s="15" t="n"/>
      <c r="BP33" s="15" t="n"/>
      <c r="BQ33" s="15" t="n"/>
      <c r="BR33" s="15" t="n"/>
      <c r="BS33" s="15" t="n"/>
      <c r="BT33" s="15" t="n"/>
      <c r="BU33" s="15" t="n"/>
      <c r="BV33" s="15" t="n"/>
      <c r="BW33" s="15" t="n"/>
      <c r="BX33" s="15" t="n"/>
      <c r="BY33" s="15" t="n"/>
      <c r="BZ33" s="15" t="n"/>
      <c r="CA33" s="15" t="n"/>
      <c r="CB33" s="15" t="n"/>
      <c r="CC33" s="15" t="n"/>
      <c r="CD33" s="15" t="n"/>
      <c r="CE33" s="15" t="n"/>
      <c r="CF33" s="15" t="n"/>
      <c r="CG33" s="15" t="n"/>
      <c r="CH33" s="15" t="n"/>
      <c r="CI33" s="15" t="n"/>
      <c r="CJ33" s="15" t="n"/>
      <c r="CK33" s="15" t="n"/>
      <c r="CL33" s="15" t="n"/>
      <c r="CM33" s="15" t="n"/>
      <c r="CN33" s="15" t="n"/>
      <c r="CO33" s="15" t="n"/>
      <c r="CP33" s="15" t="n"/>
      <c r="CQ33" s="15" t="n"/>
      <c r="CR33" s="15" t="n"/>
      <c r="CS33" s="15" t="n"/>
      <c r="CT33" s="15" t="n"/>
      <c r="CU33" s="15" t="n"/>
      <c r="CV33" s="15" t="n"/>
      <c r="CW33" s="15" t="n"/>
      <c r="CX33" s="15" t="n"/>
      <c r="CY33" s="15" t="n"/>
      <c r="CZ33" s="15" t="n"/>
      <c r="DA33" s="15" t="n"/>
      <c r="DB33" s="15" t="n"/>
      <c r="DC33" s="15" t="n"/>
      <c r="DD33" s="15" t="n"/>
      <c r="DE33" s="15" t="n"/>
      <c r="DF33" s="15" t="n"/>
      <c r="DG33" s="15" t="n"/>
      <c r="DH33" s="15" t="n"/>
      <c r="DI33" s="15" t="n"/>
      <c r="DJ33" s="15" t="n"/>
      <c r="DK33" s="15" t="n"/>
      <c r="DL33" s="15" t="n"/>
    </row>
    <row r="34">
      <c r="A34" s="14" t="inlineStr">
        <is>
          <t>6(2)(i)</t>
        </is>
      </c>
      <c r="B34" s="7" t="inlineStr">
        <is>
          <t>Pawn / pledge of movable - loan &gt; Rs.1 lakh up to Rs.10 lakh</t>
        </is>
      </c>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c r="AF34" s="15" t="n"/>
      <c r="AG34" s="15" t="n"/>
      <c r="AH34" s="15" t="n"/>
      <c r="AI34" s="16" t="inlineStr">
        <is>
          <t>I+C</t>
        </is>
      </c>
      <c r="AJ34" s="15" t="n"/>
      <c r="AK34" s="15" t="n"/>
      <c r="AL34" s="15" t="n"/>
      <c r="AM34" s="15" t="n"/>
      <c r="AN34" s="15" t="n"/>
      <c r="AO34" s="15" t="n"/>
      <c r="AP34" s="15" t="n"/>
      <c r="AQ34" s="15" t="n"/>
      <c r="AR34" s="15" t="n"/>
      <c r="AS34" s="18" t="inlineStr">
        <is>
          <t>E</t>
        </is>
      </c>
      <c r="AT34" s="15" t="n"/>
      <c r="AU34" s="18" t="inlineStr">
        <is>
          <t>E</t>
        </is>
      </c>
      <c r="AV34" s="15" t="n"/>
      <c r="AW34" s="15" t="n"/>
      <c r="AX34" s="15" t="n"/>
      <c r="AY34" s="15" t="n"/>
      <c r="AZ34" s="15" t="n"/>
      <c r="BA34" s="15" t="n"/>
      <c r="BB34" s="15" t="n"/>
      <c r="BC34" s="15" t="n"/>
      <c r="BD34" s="15" t="n"/>
      <c r="BE34" s="15" t="n"/>
      <c r="BF34" s="15" t="n"/>
      <c r="BG34" s="15" t="n"/>
      <c r="BH34" s="15" t="n"/>
      <c r="BI34" s="15" t="n"/>
      <c r="BJ34" s="15" t="n"/>
      <c r="BK34" s="15" t="n"/>
      <c r="BL34" s="15" t="n"/>
      <c r="BM34" s="15" t="n"/>
      <c r="BN34" s="15" t="n"/>
      <c r="BO34" s="15" t="n"/>
      <c r="BP34" s="15" t="n"/>
      <c r="BQ34" s="15" t="n"/>
      <c r="BR34" s="15" t="n"/>
      <c r="BS34" s="15" t="n"/>
      <c r="BT34" s="15" t="n"/>
      <c r="BU34" s="15" t="n"/>
      <c r="BV34" s="15" t="n"/>
      <c r="BW34" s="15" t="n"/>
      <c r="BX34" s="15" t="n"/>
      <c r="BY34" s="15" t="n"/>
      <c r="BZ34" s="15" t="n"/>
      <c r="CA34" s="15" t="n"/>
      <c r="CB34" s="15" t="n"/>
      <c r="CC34" s="15" t="n"/>
      <c r="CD34" s="15" t="n"/>
      <c r="CE34" s="15" t="n"/>
      <c r="CF34" s="15" t="n"/>
      <c r="CG34" s="15" t="n"/>
      <c r="CH34" s="15" t="n"/>
      <c r="CI34" s="15" t="n"/>
      <c r="CJ34" s="15" t="n"/>
      <c r="CK34" s="15" t="n"/>
      <c r="CL34" s="15" t="n"/>
      <c r="CM34" s="15" t="n"/>
      <c r="CN34" s="15" t="n"/>
      <c r="CO34" s="15" t="n"/>
      <c r="CP34" s="15" t="n"/>
      <c r="CQ34" s="15" t="n"/>
      <c r="CR34" s="15" t="n"/>
      <c r="CS34" s="15" t="n"/>
      <c r="CT34" s="15" t="n"/>
      <c r="CU34" s="15" t="n"/>
      <c r="CV34" s="15" t="n"/>
      <c r="CW34" s="15" t="n"/>
      <c r="CX34" s="15" t="n"/>
      <c r="CY34" s="15" t="n"/>
      <c r="CZ34" s="15" t="n"/>
      <c r="DA34" s="15" t="n"/>
      <c r="DB34" s="15" t="n"/>
      <c r="DC34" s="15" t="n"/>
      <c r="DD34" s="15" t="n"/>
      <c r="DE34" s="15" t="n"/>
      <c r="DF34" s="15" t="n"/>
      <c r="DG34" s="15" t="n"/>
      <c r="DH34" s="15" t="n"/>
      <c r="DI34" s="15" t="n"/>
      <c r="DJ34" s="15" t="n"/>
      <c r="DK34" s="15" t="n"/>
      <c r="DL34" s="15" t="n"/>
    </row>
    <row r="35">
      <c r="A35" s="14" t="inlineStr">
        <is>
          <t>6(2)(ii)</t>
        </is>
      </c>
      <c r="B35" s="7" t="inlineStr">
        <is>
          <t>Pawn / pledge of movable - loan above Rs.10 lakh</t>
        </is>
      </c>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c r="AH35" s="15" t="n"/>
      <c r="AI35" s="16" t="inlineStr">
        <is>
          <t>I+C</t>
        </is>
      </c>
      <c r="AJ35" s="15" t="n"/>
      <c r="AK35" s="15" t="n"/>
      <c r="AL35" s="15" t="n"/>
      <c r="AM35" s="15" t="n"/>
      <c r="AN35" s="15" t="n"/>
      <c r="AO35" s="15" t="n"/>
      <c r="AP35" s="15" t="n"/>
      <c r="AQ35" s="15" t="n"/>
      <c r="AR35" s="15" t="n"/>
      <c r="AS35" s="18" t="inlineStr">
        <is>
          <t>E</t>
        </is>
      </c>
      <c r="AT35" s="15" t="n"/>
      <c r="AU35" s="18" t="inlineStr">
        <is>
          <t>E</t>
        </is>
      </c>
      <c r="AV35" s="15" t="n"/>
      <c r="AW35" s="15" t="n"/>
      <c r="AX35" s="15" t="n"/>
      <c r="AY35" s="15" t="n"/>
      <c r="AZ35" s="15" t="n"/>
      <c r="BA35" s="15" t="n"/>
      <c r="BB35" s="15" t="n"/>
      <c r="BC35" s="15" t="n"/>
      <c r="BD35" s="15" t="n"/>
      <c r="BE35" s="15" t="n"/>
      <c r="BF35" s="15" t="n"/>
      <c r="BG35" s="15" t="n"/>
      <c r="BH35" s="15" t="n"/>
      <c r="BI35" s="15" t="n"/>
      <c r="BJ35" s="15" t="n"/>
      <c r="BK35" s="15" t="n"/>
      <c r="BL35" s="15" t="n"/>
      <c r="BM35" s="15" t="n"/>
      <c r="BN35" s="15" t="n"/>
      <c r="BO35" s="15" t="n"/>
      <c r="BP35" s="15" t="n"/>
      <c r="BQ35" s="15" t="n"/>
      <c r="BR35" s="15" t="n"/>
      <c r="BS35" s="15" t="n"/>
      <c r="BT35" s="15" t="n"/>
      <c r="BU35" s="15" t="n"/>
      <c r="BV35" s="15" t="n"/>
      <c r="BW35" s="15" t="n"/>
      <c r="BX35" s="15" t="n"/>
      <c r="BY35" s="15" t="n"/>
      <c r="BZ35" s="15" t="n"/>
      <c r="CA35" s="15" t="n"/>
      <c r="CB35" s="15" t="n"/>
      <c r="CC35" s="15" t="n"/>
      <c r="CD35" s="15" t="n"/>
      <c r="CE35" s="15" t="n"/>
      <c r="CF35" s="15" t="n"/>
      <c r="CG35" s="15" t="n"/>
      <c r="CH35" s="15" t="n"/>
      <c r="CI35" s="15" t="n"/>
      <c r="CJ35" s="15" t="n"/>
      <c r="CK35" s="15" t="n"/>
      <c r="CL35" s="15" t="n"/>
      <c r="CM35" s="15" t="n"/>
      <c r="CN35" s="15" t="n"/>
      <c r="CO35" s="15" t="n"/>
      <c r="CP35" s="15" t="n"/>
      <c r="CQ35" s="15" t="n"/>
      <c r="CR35" s="15" t="n"/>
      <c r="CS35" s="15" t="n"/>
      <c r="CT35" s="15" t="n"/>
      <c r="CU35" s="15" t="n"/>
      <c r="CV35" s="15" t="n"/>
      <c r="CW35" s="15" t="n"/>
      <c r="CX35" s="15" t="n"/>
      <c r="CY35" s="15" t="n"/>
      <c r="CZ35" s="15" t="n"/>
      <c r="DA35" s="15" t="n"/>
      <c r="DB35" s="15" t="n"/>
      <c r="DC35" s="15" t="n"/>
      <c r="DD35" s="15" t="n"/>
      <c r="DE35" s="15" t="n"/>
      <c r="DF35" s="15" t="n"/>
      <c r="DG35" s="15" t="n"/>
      <c r="DH35" s="15" t="n"/>
      <c r="DI35" s="15" t="n"/>
      <c r="DJ35" s="15" t="n"/>
      <c r="DK35" s="15" t="n"/>
      <c r="DL35" s="15" t="n"/>
    </row>
    <row r="36">
      <c r="A36" s="14" t="inlineStr">
        <is>
          <t>7</t>
        </is>
      </c>
      <c r="B36" s="7" t="inlineStr">
        <is>
          <t>Appointment in execution of a power (trustees / property), not a will</t>
        </is>
      </c>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c r="AQ36" s="15" t="n"/>
      <c r="AR36" s="15" t="n"/>
      <c r="AS36" s="15" t="n"/>
      <c r="AT36" s="15" t="n"/>
      <c r="AU36" s="15" t="n"/>
      <c r="AV36" s="15" t="n"/>
      <c r="AW36" s="15" t="n"/>
      <c r="AX36" s="15" t="n"/>
      <c r="AY36" s="15" t="n"/>
      <c r="AZ36" s="15" t="n"/>
      <c r="BA36" s="15" t="n"/>
      <c r="BB36" s="15" t="n"/>
      <c r="BC36" s="15" t="n"/>
      <c r="BD36" s="15" t="n"/>
      <c r="BE36" s="15" t="n"/>
      <c r="BF36" s="15" t="n"/>
      <c r="BG36" s="15" t="n"/>
      <c r="BH36" s="15" t="n"/>
      <c r="BI36" s="15" t="n"/>
      <c r="BJ36" s="15" t="n"/>
      <c r="BK36" s="15" t="n"/>
      <c r="BL36" s="15" t="n"/>
      <c r="BM36" s="15" t="n"/>
      <c r="BN36" s="15" t="n"/>
      <c r="BO36" s="15" t="n"/>
      <c r="BP36" s="15" t="n"/>
      <c r="BQ36" s="15" t="n"/>
      <c r="BR36" s="15" t="n"/>
      <c r="BS36" s="15" t="n"/>
      <c r="BT36" s="15" t="n"/>
      <c r="BU36" s="15" t="n"/>
      <c r="BV36" s="15" t="n"/>
      <c r="BW36" s="15" t="n"/>
      <c r="BX36" s="15" t="n"/>
      <c r="BY36" s="15" t="n"/>
      <c r="BZ36" s="15" t="n"/>
      <c r="CA36" s="15" t="n"/>
      <c r="CB36" s="15" t="n"/>
      <c r="CC36" s="15" t="n"/>
      <c r="CD36" s="15" t="n"/>
      <c r="CE36" s="15" t="n"/>
      <c r="CF36" s="15" t="n"/>
      <c r="CG36" s="15" t="n"/>
      <c r="CH36" s="15" t="n"/>
      <c r="CI36" s="15" t="n"/>
      <c r="CJ36" s="15" t="n"/>
      <c r="CK36" s="15" t="n"/>
      <c r="CL36" s="15" t="n"/>
      <c r="CM36" s="15" t="n"/>
      <c r="CN36" s="15" t="n"/>
      <c r="CO36" s="15" t="n"/>
      <c r="CP36" s="15" t="n"/>
      <c r="CQ36" s="15" t="n"/>
      <c r="CR36" s="15" t="n"/>
      <c r="CS36" s="15" t="n"/>
      <c r="CT36" s="15" t="n"/>
      <c r="CU36" s="15" t="n"/>
      <c r="CV36" s="15" t="n"/>
      <c r="CW36" s="15" t="n"/>
      <c r="CX36" s="15" t="n"/>
      <c r="CY36" s="15" t="n"/>
      <c r="CZ36" s="15" t="n"/>
      <c r="DA36" s="15" t="n"/>
      <c r="DB36" s="15" t="n"/>
      <c r="DC36" s="15" t="n"/>
      <c r="DD36" s="15" t="n"/>
      <c r="DE36" s="15" t="n"/>
      <c r="DF36" s="15" t="n"/>
      <c r="DG36" s="15" t="n"/>
      <c r="DH36" s="15" t="n"/>
      <c r="DI36" s="15" t="n"/>
      <c r="DJ36" s="15" t="n"/>
      <c r="DK36" s="15" t="n"/>
      <c r="DL36" s="15" t="n"/>
    </row>
    <row r="37">
      <c r="A37" s="14" t="inlineStr">
        <is>
          <t>8(a)</t>
        </is>
      </c>
      <c r="B37" s="7" t="inlineStr">
        <is>
          <t>Appraisement / valuation - amount &lt;= Rs.1,000</t>
        </is>
      </c>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c r="Y37" s="15" t="n"/>
      <c r="Z37" s="15" t="n"/>
      <c r="AA37" s="15" t="n"/>
      <c r="AB37" s="15" t="n"/>
      <c r="AC37" s="15" t="n"/>
      <c r="AD37" s="15" t="n"/>
      <c r="AE37" s="15" t="n"/>
      <c r="AF37" s="15" t="n"/>
      <c r="AG37" s="15" t="n"/>
      <c r="AH37" s="15" t="n"/>
      <c r="AI37" s="15" t="n"/>
      <c r="AJ37" s="15" t="n"/>
      <c r="AK37" s="15" t="n"/>
      <c r="AL37" s="15" t="n"/>
      <c r="AM37" s="15" t="n"/>
      <c r="AN37" s="15" t="n"/>
      <c r="AO37" s="15" t="n"/>
      <c r="AP37" s="15" t="n"/>
      <c r="AQ37" s="15" t="n"/>
      <c r="AR37" s="15" t="n"/>
      <c r="AS37" s="15" t="n"/>
      <c r="AT37" s="15" t="n"/>
      <c r="AU37" s="15" t="n"/>
      <c r="AV37" s="15" t="n"/>
      <c r="AW37" s="15" t="n"/>
      <c r="AX37" s="15" t="n"/>
      <c r="AY37" s="15" t="n"/>
      <c r="AZ37" s="15" t="n"/>
      <c r="BA37" s="15" t="n"/>
      <c r="BB37" s="15" t="n"/>
      <c r="BC37" s="15" t="n"/>
      <c r="BD37" s="15" t="n"/>
      <c r="BE37" s="15" t="n"/>
      <c r="BF37" s="15" t="n"/>
      <c r="BG37" s="15" t="n"/>
      <c r="BH37" s="15" t="n"/>
      <c r="BI37" s="15" t="n"/>
      <c r="BJ37" s="15" t="n"/>
      <c r="BK37" s="15" t="n"/>
      <c r="BL37" s="15" t="n"/>
      <c r="BM37" s="15" t="n"/>
      <c r="BN37" s="15" t="n"/>
      <c r="BO37" s="15" t="n"/>
      <c r="BP37" s="15" t="n"/>
      <c r="BQ37" s="15" t="n"/>
      <c r="BR37" s="15" t="n"/>
      <c r="BS37" s="15" t="n"/>
      <c r="BT37" s="15" t="n"/>
      <c r="BU37" s="15" t="n"/>
      <c r="BV37" s="15" t="n"/>
      <c r="BW37" s="15" t="n"/>
      <c r="BX37" s="15" t="n"/>
      <c r="BY37" s="15" t="n"/>
      <c r="BZ37" s="15" t="n"/>
      <c r="CA37" s="15" t="n"/>
      <c r="CB37" s="15" t="n"/>
      <c r="CC37" s="15" t="n"/>
      <c r="CD37" s="15" t="n"/>
      <c r="CE37" s="15" t="n"/>
      <c r="CF37" s="15" t="n"/>
      <c r="CG37" s="15" t="n"/>
      <c r="CH37" s="15" t="n"/>
      <c r="CI37" s="15" t="n"/>
      <c r="CJ37" s="15" t="n"/>
      <c r="CK37" s="15" t="n"/>
      <c r="CL37" s="15" t="n"/>
      <c r="CM37" s="15" t="n"/>
      <c r="CN37" s="15" t="n"/>
      <c r="CO37" s="15" t="n"/>
      <c r="CP37" s="15" t="n"/>
      <c r="CQ37" s="15" t="n"/>
      <c r="CR37" s="15" t="n"/>
      <c r="CS37" s="15" t="n"/>
      <c r="CT37" s="15" t="n"/>
      <c r="CU37" s="15" t="n"/>
      <c r="CV37" s="15" t="n"/>
      <c r="CW37" s="15" t="n"/>
      <c r="CX37" s="15" t="n"/>
      <c r="CY37" s="16" t="inlineStr">
        <is>
          <t>I+C</t>
        </is>
      </c>
      <c r="CZ37" s="15" t="n"/>
      <c r="DA37" s="15" t="n"/>
      <c r="DB37" s="17" t="inlineStr">
        <is>
          <t>I</t>
        </is>
      </c>
      <c r="DC37" s="15" t="n"/>
      <c r="DD37" s="15" t="n"/>
      <c r="DE37" s="15" t="n"/>
      <c r="DF37" s="15" t="n"/>
      <c r="DG37" s="15" t="n"/>
      <c r="DH37" s="15" t="n"/>
      <c r="DI37" s="15" t="n"/>
      <c r="DJ37" s="15" t="n"/>
      <c r="DK37" s="15" t="n"/>
      <c r="DL37" s="15" t="n"/>
    </row>
    <row r="38">
      <c r="A38" s="14" t="inlineStr">
        <is>
          <t>8(b)</t>
        </is>
      </c>
      <c r="B38" s="7" t="inlineStr">
        <is>
          <t>Appraisement / valuation - other</t>
        </is>
      </c>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c r="AH38" s="15" t="n"/>
      <c r="AI38" s="15" t="n"/>
      <c r="AJ38" s="15" t="n"/>
      <c r="AK38" s="15" t="n"/>
      <c r="AL38" s="15" t="n"/>
      <c r="AM38" s="15" t="n"/>
      <c r="AN38" s="15" t="n"/>
      <c r="AO38" s="15" t="n"/>
      <c r="AP38" s="15" t="n"/>
      <c r="AQ38" s="15" t="n"/>
      <c r="AR38" s="15" t="n"/>
      <c r="AS38" s="15" t="n"/>
      <c r="AT38" s="15" t="n"/>
      <c r="AU38" s="15" t="n"/>
      <c r="AV38" s="15" t="n"/>
      <c r="AW38" s="15" t="n"/>
      <c r="AX38" s="15" t="n"/>
      <c r="AY38" s="15" t="n"/>
      <c r="AZ38" s="15" t="n"/>
      <c r="BA38" s="15" t="n"/>
      <c r="BB38" s="15" t="n"/>
      <c r="BC38" s="15" t="n"/>
      <c r="BD38" s="15" t="n"/>
      <c r="BE38" s="15" t="n"/>
      <c r="BF38" s="15" t="n"/>
      <c r="BG38" s="15" t="n"/>
      <c r="BH38" s="15" t="n"/>
      <c r="BI38" s="15" t="n"/>
      <c r="BJ38" s="15" t="n"/>
      <c r="BK38" s="15" t="n"/>
      <c r="BL38" s="15" t="n"/>
      <c r="BM38" s="15" t="n"/>
      <c r="BN38" s="15" t="n"/>
      <c r="BO38" s="15" t="n"/>
      <c r="BP38" s="15" t="n"/>
      <c r="BQ38" s="15" t="n"/>
      <c r="BR38" s="15" t="n"/>
      <c r="BS38" s="15" t="n"/>
      <c r="BT38" s="15" t="n"/>
      <c r="BU38" s="15" t="n"/>
      <c r="BV38" s="15" t="n"/>
      <c r="BW38" s="15" t="n"/>
      <c r="BX38" s="15" t="n"/>
      <c r="BY38" s="15" t="n"/>
      <c r="BZ38" s="15" t="n"/>
      <c r="CA38" s="15" t="n"/>
      <c r="CB38" s="15" t="n"/>
      <c r="CC38" s="15" t="n"/>
      <c r="CD38" s="15" t="n"/>
      <c r="CE38" s="15" t="n"/>
      <c r="CF38" s="15" t="n"/>
      <c r="CG38" s="15" t="n"/>
      <c r="CH38" s="15" t="n"/>
      <c r="CI38" s="15" t="n"/>
      <c r="CJ38" s="15" t="n"/>
      <c r="CK38" s="15" t="n"/>
      <c r="CL38" s="15" t="n"/>
      <c r="CM38" s="15" t="n"/>
      <c r="CN38" s="15" t="n"/>
      <c r="CO38" s="15" t="n"/>
      <c r="CP38" s="15" t="n"/>
      <c r="CQ38" s="15" t="n"/>
      <c r="CR38" s="15" t="n"/>
      <c r="CS38" s="15" t="n"/>
      <c r="CT38" s="15" t="n"/>
      <c r="CU38" s="15" t="n"/>
      <c r="CV38" s="15" t="n"/>
      <c r="CW38" s="15" t="n"/>
      <c r="CX38" s="15" t="n"/>
      <c r="CY38" s="17" t="inlineStr">
        <is>
          <t>I</t>
        </is>
      </c>
      <c r="CZ38" s="15" t="n"/>
      <c r="DA38" s="15" t="n"/>
      <c r="DB38" s="17" t="inlineStr">
        <is>
          <t>I</t>
        </is>
      </c>
      <c r="DC38" s="15" t="n"/>
      <c r="DD38" s="15" t="n"/>
      <c r="DE38" s="15" t="n"/>
      <c r="DF38" s="15" t="n"/>
      <c r="DG38" s="15" t="n"/>
      <c r="DH38" s="15" t="n"/>
      <c r="DI38" s="15" t="n"/>
      <c r="DJ38" s="15" t="n"/>
      <c r="DK38" s="15" t="n"/>
      <c r="DL38" s="15" t="n"/>
    </row>
    <row r="39">
      <c r="A39" s="14" t="inlineStr">
        <is>
          <t>9</t>
        </is>
      </c>
      <c r="B39" s="7" t="inlineStr">
        <is>
          <t>Apprenticeship deed</t>
        </is>
      </c>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c r="Y39" s="15" t="n"/>
      <c r="Z39" s="15" t="n"/>
      <c r="AA39" s="15" t="n"/>
      <c r="AB39" s="15" t="n"/>
      <c r="AC39" s="15" t="n"/>
      <c r="AD39" s="15" t="n"/>
      <c r="AE39" s="15" t="n"/>
      <c r="AF39" s="15" t="n"/>
      <c r="AG39" s="15" t="n"/>
      <c r="AH39" s="15" t="n"/>
      <c r="AI39" s="15" t="n"/>
      <c r="AJ39" s="15" t="n"/>
      <c r="AK39" s="15" t="n"/>
      <c r="AL39" s="15" t="n"/>
      <c r="AM39" s="15" t="n"/>
      <c r="AN39" s="15" t="n"/>
      <c r="AO39" s="15" t="n"/>
      <c r="AP39" s="15" t="n"/>
      <c r="AQ39" s="15" t="n"/>
      <c r="AR39" s="15" t="n"/>
      <c r="AS39" s="15" t="n"/>
      <c r="AT39" s="15" t="n"/>
      <c r="AU39" s="15" t="n"/>
      <c r="AV39" s="15" t="n"/>
      <c r="AW39" s="15" t="n"/>
      <c r="AX39" s="15" t="n"/>
      <c r="AY39" s="15" t="n"/>
      <c r="AZ39" s="15" t="n"/>
      <c r="BA39" s="15" t="n"/>
      <c r="BB39" s="15" t="n"/>
      <c r="BC39" s="15" t="n"/>
      <c r="BD39" s="15" t="n"/>
      <c r="BE39" s="15" t="n"/>
      <c r="BF39" s="15" t="n"/>
      <c r="BG39" s="15" t="n"/>
      <c r="BH39" s="15" t="n"/>
      <c r="BI39" s="15" t="n"/>
      <c r="BJ39" s="15" t="n"/>
      <c r="BK39" s="15" t="n"/>
      <c r="BL39" s="15" t="n"/>
      <c r="BM39" s="15" t="n"/>
      <c r="BN39" s="15" t="n"/>
      <c r="BO39" s="15" t="n"/>
      <c r="BP39" s="15" t="n"/>
      <c r="BQ39" s="15" t="n"/>
      <c r="BR39" s="15" t="n"/>
      <c r="BS39" s="15" t="n"/>
      <c r="BT39" s="15" t="n"/>
      <c r="BU39" s="15" t="n"/>
      <c r="BV39" s="15" t="n"/>
      <c r="BW39" s="15" t="n"/>
      <c r="BX39" s="15" t="n"/>
      <c r="BY39" s="15" t="n"/>
      <c r="BZ39" s="15" t="n"/>
      <c r="CA39" s="15" t="n"/>
      <c r="CB39" s="15" t="n"/>
      <c r="CC39" s="15" t="n"/>
      <c r="CD39" s="15" t="n"/>
      <c r="CE39" s="15" t="n"/>
      <c r="CF39" s="15" t="n"/>
      <c r="CG39" s="15" t="n"/>
      <c r="CH39" s="15" t="n"/>
      <c r="CI39" s="15" t="n"/>
      <c r="CJ39" s="15" t="n"/>
      <c r="CK39" s="15" t="n"/>
      <c r="CL39" s="15" t="n"/>
      <c r="CM39" s="15" t="n"/>
      <c r="CN39" s="15" t="n"/>
      <c r="CO39" s="15" t="n"/>
      <c r="CP39" s="15" t="n"/>
      <c r="CQ39" s="15" t="n"/>
      <c r="CR39" s="15" t="n"/>
      <c r="CS39" s="15" t="n"/>
      <c r="CT39" s="15" t="n"/>
      <c r="CU39" s="15" t="n"/>
      <c r="CV39" s="15" t="n"/>
      <c r="CW39" s="15" t="n"/>
      <c r="CX39" s="15" t="n"/>
      <c r="CY39" s="15" t="n"/>
      <c r="CZ39" s="15" t="n"/>
      <c r="DA39" s="15" t="n"/>
      <c r="DB39" s="15" t="n"/>
      <c r="DC39" s="17" t="inlineStr">
        <is>
          <t>I</t>
        </is>
      </c>
      <c r="DD39" s="15" t="n"/>
      <c r="DE39" s="15" t="n"/>
      <c r="DF39" s="15" t="n"/>
      <c r="DG39" s="15" t="n"/>
      <c r="DH39" s="15" t="n"/>
      <c r="DI39" s="15" t="n"/>
      <c r="DJ39" s="15" t="n"/>
      <c r="DK39" s="15" t="n"/>
      <c r="DL39" s="15" t="n"/>
    </row>
    <row r="40">
      <c r="A40" s="14" t="inlineStr">
        <is>
          <t>10</t>
        </is>
      </c>
      <c r="B40" s="7" t="inlineStr">
        <is>
          <t>Articles of Association</t>
        </is>
      </c>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c r="Y40" s="15" t="n"/>
      <c r="Z40" s="15" t="n"/>
      <c r="AA40" s="15" t="n"/>
      <c r="AB40" s="15" t="n"/>
      <c r="AC40" s="15" t="n"/>
      <c r="AD40" s="15" t="n"/>
      <c r="AE40" s="15" t="n"/>
      <c r="AF40" s="15" t="n"/>
      <c r="AG40" s="15" t="n"/>
      <c r="AH40" s="15" t="n"/>
      <c r="AI40" s="15" t="n"/>
      <c r="AJ40" s="15" t="n"/>
      <c r="AK40" s="15" t="n"/>
      <c r="AL40" s="15" t="n"/>
      <c r="AM40" s="15" t="n"/>
      <c r="AN40" s="15" t="n"/>
      <c r="AO40" s="15" t="n"/>
      <c r="AP40" s="15" t="n"/>
      <c r="AQ40" s="15" t="n"/>
      <c r="AR40" s="15" t="n"/>
      <c r="AS40" s="15" t="n"/>
      <c r="AT40" s="15" t="n"/>
      <c r="AU40" s="15" t="n"/>
      <c r="AV40" s="15" t="n"/>
      <c r="AW40" s="15" t="n"/>
      <c r="AX40" s="15" t="n"/>
      <c r="AY40" s="15" t="n"/>
      <c r="AZ40" s="15" t="n"/>
      <c r="BA40" s="15" t="n"/>
      <c r="BB40" s="15" t="n"/>
      <c r="BC40" s="15" t="n"/>
      <c r="BD40" s="15" t="n"/>
      <c r="BE40" s="15" t="n"/>
      <c r="BF40" s="15" t="n"/>
      <c r="BG40" s="15" t="n"/>
      <c r="BH40" s="15" t="n"/>
      <c r="BI40" s="15" t="n"/>
      <c r="BJ40" s="15" t="n"/>
      <c r="BK40" s="15" t="n"/>
      <c r="BL40" s="15" t="n"/>
      <c r="BM40" s="15" t="n"/>
      <c r="BN40" s="15" t="n"/>
      <c r="BO40" s="15" t="n"/>
      <c r="BP40" s="15" t="n"/>
      <c r="BQ40" s="15" t="n"/>
      <c r="BR40" s="15" t="n"/>
      <c r="BS40" s="15" t="n"/>
      <c r="BT40" s="15" t="n"/>
      <c r="BU40" s="15" t="n"/>
      <c r="BV40" s="15" t="n"/>
      <c r="BW40" s="19" t="inlineStr">
        <is>
          <t>C</t>
        </is>
      </c>
      <c r="BX40" s="17" t="inlineStr">
        <is>
          <t>I</t>
        </is>
      </c>
      <c r="BY40" s="15" t="n"/>
      <c r="BZ40" s="15" t="n"/>
      <c r="CA40" s="15" t="n"/>
      <c r="CB40" s="15" t="n"/>
      <c r="CC40" s="15" t="n"/>
      <c r="CD40" s="15" t="n"/>
      <c r="CE40" s="15" t="n"/>
      <c r="CF40" s="15" t="n"/>
      <c r="CG40" s="15" t="n"/>
      <c r="CH40" s="15" t="n"/>
      <c r="CI40" s="15" t="n"/>
      <c r="CJ40" s="15" t="n"/>
      <c r="CK40" s="15" t="n"/>
      <c r="CL40" s="15" t="n"/>
      <c r="CM40" s="15" t="n"/>
      <c r="CN40" s="15" t="n"/>
      <c r="CO40" s="15" t="n"/>
      <c r="CP40" s="15" t="n"/>
      <c r="CQ40" s="15" t="n"/>
      <c r="CR40" s="15" t="n"/>
      <c r="CS40" s="15" t="n"/>
      <c r="CT40" s="15" t="n"/>
      <c r="CU40" s="15" t="n"/>
      <c r="CV40" s="15" t="n"/>
      <c r="CW40" s="15" t="n"/>
      <c r="CX40" s="15" t="n"/>
      <c r="CY40" s="15" t="n"/>
      <c r="CZ40" s="15" t="n"/>
      <c r="DA40" s="15" t="n"/>
      <c r="DB40" s="15" t="n"/>
      <c r="DC40" s="15" t="n"/>
      <c r="DD40" s="15" t="n"/>
      <c r="DE40" s="15" t="n"/>
      <c r="DF40" s="15" t="n"/>
      <c r="DG40" s="15" t="n"/>
      <c r="DH40" s="15" t="n"/>
      <c r="DI40" s="15" t="n"/>
      <c r="DJ40" s="15" t="n"/>
      <c r="DK40" s="15" t="n"/>
      <c r="DL40" s="15" t="n"/>
    </row>
    <row r="41">
      <c r="A41" s="14" t="inlineStr">
        <is>
          <t>11(a)</t>
        </is>
      </c>
      <c r="B41" s="7" t="inlineStr">
        <is>
          <t>Arbitral award - immovable property</t>
        </is>
      </c>
      <c r="C41" s="15" t="n"/>
      <c r="D41" s="15" t="n"/>
      <c r="E41" s="19" t="inlineStr">
        <is>
          <t>C</t>
        </is>
      </c>
      <c r="F41" s="19" t="inlineStr">
        <is>
          <t>C</t>
        </is>
      </c>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c r="AR41" s="15" t="n"/>
      <c r="AS41" s="15" t="n"/>
      <c r="AT41" s="15" t="n"/>
      <c r="AU41" s="15" t="n"/>
      <c r="AV41" s="15" t="n"/>
      <c r="AW41" s="15" t="n"/>
      <c r="AX41" s="15" t="n"/>
      <c r="AY41" s="15" t="n"/>
      <c r="AZ41" s="15" t="n"/>
      <c r="BA41" s="15" t="n"/>
      <c r="BB41" s="15" t="n"/>
      <c r="BC41" s="15" t="n"/>
      <c r="BD41" s="15" t="n"/>
      <c r="BE41" s="15" t="n"/>
      <c r="BF41" s="15" t="n"/>
      <c r="BG41" s="15" t="n"/>
      <c r="BH41" s="15" t="n"/>
      <c r="BI41" s="15" t="n"/>
      <c r="BJ41" s="15" t="n"/>
      <c r="BK41" s="15" t="n"/>
      <c r="BL41" s="15" t="n"/>
      <c r="BM41" s="15" t="n"/>
      <c r="BN41" s="15" t="n"/>
      <c r="BO41" s="15" t="n"/>
      <c r="BP41" s="15" t="n"/>
      <c r="BQ41" s="15" t="n"/>
      <c r="BR41" s="15" t="n"/>
      <c r="BS41" s="15" t="n"/>
      <c r="BT41" s="15" t="n"/>
      <c r="BU41" s="15" t="n"/>
      <c r="BV41" s="15" t="n"/>
      <c r="BW41" s="15" t="n"/>
      <c r="BX41" s="15" t="n"/>
      <c r="BY41" s="15" t="n"/>
      <c r="BZ41" s="15" t="n"/>
      <c r="CA41" s="15" t="n"/>
      <c r="CB41" s="15" t="n"/>
      <c r="CC41" s="15" t="n"/>
      <c r="CD41" s="15" t="n"/>
      <c r="CE41" s="15" t="n"/>
      <c r="CF41" s="15" t="n"/>
      <c r="CG41" s="15" t="n"/>
      <c r="CH41" s="15" t="n"/>
      <c r="CI41" s="15" t="n"/>
      <c r="CJ41" s="15" t="n"/>
      <c r="CK41" s="15" t="n"/>
      <c r="CL41" s="15" t="n"/>
      <c r="CM41" s="15" t="n"/>
      <c r="CN41" s="15" t="n"/>
      <c r="CO41" s="15" t="n"/>
      <c r="CP41" s="15" t="n"/>
      <c r="CQ41" s="15" t="n"/>
      <c r="CR41" s="15" t="n"/>
      <c r="CS41" s="15" t="n"/>
      <c r="CT41" s="15" t="n"/>
      <c r="CU41" s="15" t="n"/>
      <c r="CV41" s="15" t="n"/>
      <c r="CW41" s="15" t="n"/>
      <c r="CX41" s="15" t="n"/>
      <c r="CY41" s="15" t="n"/>
      <c r="CZ41" s="15" t="n"/>
      <c r="DA41" s="15" t="n"/>
      <c r="DB41" s="15" t="n"/>
      <c r="DC41" s="15" t="n"/>
      <c r="DD41" s="17" t="inlineStr">
        <is>
          <t>I</t>
        </is>
      </c>
      <c r="DE41" s="15" t="n"/>
      <c r="DF41" s="15" t="n"/>
      <c r="DG41" s="15" t="n"/>
      <c r="DH41" s="15" t="n"/>
      <c r="DI41" s="15" t="n"/>
      <c r="DJ41" s="15" t="n"/>
      <c r="DK41" s="15" t="n"/>
      <c r="DL41" s="15" t="n"/>
    </row>
    <row r="42">
      <c r="A42" s="14" t="inlineStr">
        <is>
          <t>11(b)(i)</t>
        </is>
      </c>
      <c r="B42" s="7" t="inlineStr">
        <is>
          <t>Arbitral award - movable, up to Rs.50 lakh</t>
        </is>
      </c>
      <c r="C42" s="15" t="n"/>
      <c r="D42" s="15" t="n"/>
      <c r="E42" s="15" t="n"/>
      <c r="F42" s="15" t="n"/>
      <c r="G42" s="15" t="n"/>
      <c r="H42" s="15" t="n"/>
      <c r="I42" s="15" t="n"/>
      <c r="J42" s="15" t="n"/>
      <c r="K42" s="15" t="n"/>
      <c r="L42" s="15" t="n"/>
      <c r="M42" s="15" t="n"/>
      <c r="N42" s="15" t="n"/>
      <c r="O42" s="15" t="n"/>
      <c r="P42" s="15" t="n"/>
      <c r="Q42" s="15" t="n"/>
      <c r="R42" s="15" t="n"/>
      <c r="S42" s="15" t="n"/>
      <c r="T42" s="15" t="n"/>
      <c r="U42" s="15" t="n"/>
      <c r="V42" s="15" t="n"/>
      <c r="W42" s="15" t="n"/>
      <c r="X42" s="15" t="n"/>
      <c r="Y42" s="15" t="n"/>
      <c r="Z42" s="15" t="n"/>
      <c r="AA42" s="15" t="n"/>
      <c r="AB42" s="15" t="n"/>
      <c r="AC42" s="15" t="n"/>
      <c r="AD42" s="15" t="n"/>
      <c r="AE42" s="15" t="n"/>
      <c r="AF42" s="15" t="n"/>
      <c r="AG42" s="15" t="n"/>
      <c r="AH42" s="15" t="n"/>
      <c r="AI42" s="15" t="n"/>
      <c r="AJ42" s="15" t="n"/>
      <c r="AK42" s="15" t="n"/>
      <c r="AL42" s="15" t="n"/>
      <c r="AM42" s="15" t="n"/>
      <c r="AN42" s="15" t="n"/>
      <c r="AO42" s="15" t="n"/>
      <c r="AP42" s="15" t="n"/>
      <c r="AQ42" s="15" t="n"/>
      <c r="AR42" s="15" t="n"/>
      <c r="AS42" s="15" t="n"/>
      <c r="AT42" s="15" t="n"/>
      <c r="AU42" s="15" t="n"/>
      <c r="AV42" s="15" t="n"/>
      <c r="AW42" s="15" t="n"/>
      <c r="AX42" s="15" t="n"/>
      <c r="AY42" s="15" t="n"/>
      <c r="AZ42" s="15" t="n"/>
      <c r="BA42" s="15" t="n"/>
      <c r="BB42" s="15" t="n"/>
      <c r="BC42" s="15" t="n"/>
      <c r="BD42" s="15" t="n"/>
      <c r="BE42" s="15" t="n"/>
      <c r="BF42" s="15" t="n"/>
      <c r="BG42" s="15" t="n"/>
      <c r="BH42" s="15" t="n"/>
      <c r="BI42" s="15" t="n"/>
      <c r="BJ42" s="15" t="n"/>
      <c r="BK42" s="15" t="n"/>
      <c r="BL42" s="15" t="n"/>
      <c r="BM42" s="15" t="n"/>
      <c r="BN42" s="15" t="n"/>
      <c r="BO42" s="15" t="n"/>
      <c r="BP42" s="15" t="n"/>
      <c r="BQ42" s="15" t="n"/>
      <c r="BR42" s="15" t="n"/>
      <c r="BS42" s="15" t="n"/>
      <c r="BT42" s="15" t="n"/>
      <c r="BU42" s="15" t="n"/>
      <c r="BV42" s="15" t="n"/>
      <c r="BW42" s="15" t="n"/>
      <c r="BX42" s="15" t="n"/>
      <c r="BY42" s="15" t="n"/>
      <c r="BZ42" s="15" t="n"/>
      <c r="CA42" s="15" t="n"/>
      <c r="CB42" s="15" t="n"/>
      <c r="CC42" s="15" t="n"/>
      <c r="CD42" s="15" t="n"/>
      <c r="CE42" s="15" t="n"/>
      <c r="CF42" s="15" t="n"/>
      <c r="CG42" s="15" t="n"/>
      <c r="CH42" s="15" t="n"/>
      <c r="CI42" s="15" t="n"/>
      <c r="CJ42" s="15" t="n"/>
      <c r="CK42" s="15" t="n"/>
      <c r="CL42" s="15" t="n"/>
      <c r="CM42" s="15" t="n"/>
      <c r="CN42" s="15" t="n"/>
      <c r="CO42" s="15" t="n"/>
      <c r="CP42" s="15" t="n"/>
      <c r="CQ42" s="15" t="n"/>
      <c r="CR42" s="15" t="n"/>
      <c r="CS42" s="15" t="n"/>
      <c r="CT42" s="15" t="n"/>
      <c r="CU42" s="15" t="n"/>
      <c r="CV42" s="15" t="n"/>
      <c r="CW42" s="15" t="n"/>
      <c r="CX42" s="15" t="n"/>
      <c r="CY42" s="15" t="n"/>
      <c r="CZ42" s="15" t="n"/>
      <c r="DA42" s="15" t="n"/>
      <c r="DB42" s="15" t="n"/>
      <c r="DC42" s="15" t="n"/>
      <c r="DD42" s="16" t="inlineStr">
        <is>
          <t>I+C</t>
        </is>
      </c>
      <c r="DE42" s="15" t="n"/>
      <c r="DF42" s="15" t="n"/>
      <c r="DG42" s="15" t="n"/>
      <c r="DH42" s="15" t="n"/>
      <c r="DI42" s="15" t="n"/>
      <c r="DJ42" s="15" t="n"/>
      <c r="DK42" s="15" t="n"/>
      <c r="DL42" s="15" t="n"/>
    </row>
    <row r="43">
      <c r="A43" s="14" t="inlineStr">
        <is>
          <t>11(b)(ii)</t>
        </is>
      </c>
      <c r="B43" s="7" t="inlineStr">
        <is>
          <t>Arbitral award - movable, Rs.50 lakh to Rs.5 crore</t>
        </is>
      </c>
      <c r="C43" s="15" t="n"/>
      <c r="D43" s="15" t="n"/>
      <c r="E43" s="15" t="n"/>
      <c r="F43" s="15" t="n"/>
      <c r="G43" s="15" t="n"/>
      <c r="H43" s="15" t="n"/>
      <c r="I43" s="15" t="n"/>
      <c r="J43" s="15" t="n"/>
      <c r="K43" s="15" t="n"/>
      <c r="L43" s="15" t="n"/>
      <c r="M43" s="15" t="n"/>
      <c r="N43" s="15" t="n"/>
      <c r="O43" s="15" t="n"/>
      <c r="P43" s="15" t="n"/>
      <c r="Q43" s="15" t="n"/>
      <c r="R43" s="15" t="n"/>
      <c r="S43" s="15" t="n"/>
      <c r="T43" s="15" t="n"/>
      <c r="U43" s="15" t="n"/>
      <c r="V43" s="15" t="n"/>
      <c r="W43" s="15" t="n"/>
      <c r="X43" s="15" t="n"/>
      <c r="Y43" s="15" t="n"/>
      <c r="Z43" s="15" t="n"/>
      <c r="AA43" s="15" t="n"/>
      <c r="AB43" s="15" t="n"/>
      <c r="AC43" s="15" t="n"/>
      <c r="AD43" s="15" t="n"/>
      <c r="AE43" s="15" t="n"/>
      <c r="AF43" s="15" t="n"/>
      <c r="AG43" s="15" t="n"/>
      <c r="AH43" s="15" t="n"/>
      <c r="AI43" s="15" t="n"/>
      <c r="AJ43" s="15" t="n"/>
      <c r="AK43" s="15" t="n"/>
      <c r="AL43" s="15" t="n"/>
      <c r="AM43" s="15" t="n"/>
      <c r="AN43" s="15" t="n"/>
      <c r="AO43" s="15" t="n"/>
      <c r="AP43" s="15" t="n"/>
      <c r="AQ43" s="15" t="n"/>
      <c r="AR43" s="15" t="n"/>
      <c r="AS43" s="15" t="n"/>
      <c r="AT43" s="15" t="n"/>
      <c r="AU43" s="15" t="n"/>
      <c r="AV43" s="15" t="n"/>
      <c r="AW43" s="15" t="n"/>
      <c r="AX43" s="15" t="n"/>
      <c r="AY43" s="15" t="n"/>
      <c r="AZ43" s="15" t="n"/>
      <c r="BA43" s="15" t="n"/>
      <c r="BB43" s="15" t="n"/>
      <c r="BC43" s="15" t="n"/>
      <c r="BD43" s="15" t="n"/>
      <c r="BE43" s="15" t="n"/>
      <c r="BF43" s="15" t="n"/>
      <c r="BG43" s="15" t="n"/>
      <c r="BH43" s="15" t="n"/>
      <c r="BI43" s="15" t="n"/>
      <c r="BJ43" s="15" t="n"/>
      <c r="BK43" s="15" t="n"/>
      <c r="BL43" s="15" t="n"/>
      <c r="BM43" s="15" t="n"/>
      <c r="BN43" s="15" t="n"/>
      <c r="BO43" s="15" t="n"/>
      <c r="BP43" s="15" t="n"/>
      <c r="BQ43" s="15" t="n"/>
      <c r="BR43" s="15" t="n"/>
      <c r="BS43" s="15" t="n"/>
      <c r="BT43" s="15" t="n"/>
      <c r="BU43" s="15" t="n"/>
      <c r="BV43" s="15" t="n"/>
      <c r="BW43" s="15" t="n"/>
      <c r="BX43" s="15" t="n"/>
      <c r="BY43" s="15" t="n"/>
      <c r="BZ43" s="15" t="n"/>
      <c r="CA43" s="15" t="n"/>
      <c r="CB43" s="15" t="n"/>
      <c r="CC43" s="15" t="n"/>
      <c r="CD43" s="15" t="n"/>
      <c r="CE43" s="15" t="n"/>
      <c r="CF43" s="15" t="n"/>
      <c r="CG43" s="15" t="n"/>
      <c r="CH43" s="15" t="n"/>
      <c r="CI43" s="15" t="n"/>
      <c r="CJ43" s="15" t="n"/>
      <c r="CK43" s="15" t="n"/>
      <c r="CL43" s="15" t="n"/>
      <c r="CM43" s="15" t="n"/>
      <c r="CN43" s="15" t="n"/>
      <c r="CO43" s="15" t="n"/>
      <c r="CP43" s="15" t="n"/>
      <c r="CQ43" s="15" t="n"/>
      <c r="CR43" s="15" t="n"/>
      <c r="CS43" s="15" t="n"/>
      <c r="CT43" s="15" t="n"/>
      <c r="CU43" s="15" t="n"/>
      <c r="CV43" s="15" t="n"/>
      <c r="CW43" s="15" t="n"/>
      <c r="CX43" s="15" t="n"/>
      <c r="CY43" s="15" t="n"/>
      <c r="CZ43" s="15" t="n"/>
      <c r="DA43" s="15" t="n"/>
      <c r="DB43" s="15" t="n"/>
      <c r="DC43" s="15" t="n"/>
      <c r="DD43" s="16" t="inlineStr">
        <is>
          <t>I+C</t>
        </is>
      </c>
      <c r="DE43" s="15" t="n"/>
      <c r="DF43" s="15" t="n"/>
      <c r="DG43" s="15" t="n"/>
      <c r="DH43" s="15" t="n"/>
      <c r="DI43" s="15" t="n"/>
      <c r="DJ43" s="15" t="n"/>
      <c r="DK43" s="15" t="n"/>
      <c r="DL43" s="15" t="n"/>
    </row>
    <row r="44">
      <c r="A44" s="14" t="inlineStr">
        <is>
          <t>11(b)(iii)</t>
        </is>
      </c>
      <c r="B44" s="7" t="inlineStr">
        <is>
          <t>Arbitral award - movable, above Rs.5 crore</t>
        </is>
      </c>
      <c r="C44" s="15" t="n"/>
      <c r="D44" s="15" t="n"/>
      <c r="E44" s="15" t="n"/>
      <c r="F44" s="15" t="n"/>
      <c r="G44" s="15" t="n"/>
      <c r="H44" s="15" t="n"/>
      <c r="I44" s="15" t="n"/>
      <c r="J44" s="15" t="n"/>
      <c r="K44" s="15" t="n"/>
      <c r="L44" s="15" t="n"/>
      <c r="M44" s="15" t="n"/>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c r="AH44" s="15" t="n"/>
      <c r="AI44" s="15" t="n"/>
      <c r="AJ44" s="15" t="n"/>
      <c r="AK44" s="15" t="n"/>
      <c r="AL44" s="15" t="n"/>
      <c r="AM44" s="15" t="n"/>
      <c r="AN44" s="15" t="n"/>
      <c r="AO44" s="15" t="n"/>
      <c r="AP44" s="15" t="n"/>
      <c r="AQ44" s="15" t="n"/>
      <c r="AR44" s="15" t="n"/>
      <c r="AS44" s="15" t="n"/>
      <c r="AT44" s="15" t="n"/>
      <c r="AU44" s="15" t="n"/>
      <c r="AV44" s="15" t="n"/>
      <c r="AW44" s="15" t="n"/>
      <c r="AX44" s="15" t="n"/>
      <c r="AY44" s="15" t="n"/>
      <c r="AZ44" s="15" t="n"/>
      <c r="BA44" s="15" t="n"/>
      <c r="BB44" s="15" t="n"/>
      <c r="BC44" s="15" t="n"/>
      <c r="BD44" s="15" t="n"/>
      <c r="BE44" s="15" t="n"/>
      <c r="BF44" s="15" t="n"/>
      <c r="BG44" s="15" t="n"/>
      <c r="BH44" s="15" t="n"/>
      <c r="BI44" s="15" t="n"/>
      <c r="BJ44" s="15" t="n"/>
      <c r="BK44" s="15" t="n"/>
      <c r="BL44" s="15" t="n"/>
      <c r="BM44" s="15" t="n"/>
      <c r="BN44" s="15" t="n"/>
      <c r="BO44" s="15" t="n"/>
      <c r="BP44" s="15" t="n"/>
      <c r="BQ44" s="15" t="n"/>
      <c r="BR44" s="15" t="n"/>
      <c r="BS44" s="15" t="n"/>
      <c r="BT44" s="15" t="n"/>
      <c r="BU44" s="15" t="n"/>
      <c r="BV44" s="15" t="n"/>
      <c r="BW44" s="15" t="n"/>
      <c r="BX44" s="15" t="n"/>
      <c r="BY44" s="15" t="n"/>
      <c r="BZ44" s="15" t="n"/>
      <c r="CA44" s="15" t="n"/>
      <c r="CB44" s="15" t="n"/>
      <c r="CC44" s="15" t="n"/>
      <c r="CD44" s="15" t="n"/>
      <c r="CE44" s="15" t="n"/>
      <c r="CF44" s="15" t="n"/>
      <c r="CG44" s="15" t="n"/>
      <c r="CH44" s="15" t="n"/>
      <c r="CI44" s="15" t="n"/>
      <c r="CJ44" s="15" t="n"/>
      <c r="CK44" s="15" t="n"/>
      <c r="CL44" s="15" t="n"/>
      <c r="CM44" s="15" t="n"/>
      <c r="CN44" s="15" t="n"/>
      <c r="CO44" s="15" t="n"/>
      <c r="CP44" s="15" t="n"/>
      <c r="CQ44" s="15" t="n"/>
      <c r="CR44" s="15" t="n"/>
      <c r="CS44" s="15" t="n"/>
      <c r="CT44" s="15" t="n"/>
      <c r="CU44" s="15" t="n"/>
      <c r="CV44" s="15" t="n"/>
      <c r="CW44" s="15" t="n"/>
      <c r="CX44" s="15" t="n"/>
      <c r="CY44" s="15" t="n"/>
      <c r="CZ44" s="15" t="n"/>
      <c r="DA44" s="15" t="n"/>
      <c r="DB44" s="15" t="n"/>
      <c r="DC44" s="15" t="n"/>
      <c r="DD44" s="16" t="inlineStr">
        <is>
          <t>I+C</t>
        </is>
      </c>
      <c r="DE44" s="15" t="n"/>
      <c r="DF44" s="15" t="n"/>
      <c r="DG44" s="15" t="n"/>
      <c r="DH44" s="15" t="n"/>
      <c r="DI44" s="15" t="n"/>
      <c r="DJ44" s="15" t="n"/>
      <c r="DK44" s="15" t="n"/>
      <c r="DL44" s="15" t="n"/>
    </row>
    <row r="45">
      <c r="A45" s="14" t="inlineStr">
        <is>
          <t>12(a)</t>
        </is>
      </c>
      <c r="B45" s="7" t="inlineStr">
        <is>
          <t>Bond - amount &lt;= Rs.1,000</t>
        </is>
      </c>
      <c r="C45" s="15" t="n"/>
      <c r="D45" s="15" t="n"/>
      <c r="E45" s="15" t="n"/>
      <c r="F45" s="15" t="n"/>
      <c r="G45" s="15" t="n"/>
      <c r="H45" s="15" t="n"/>
      <c r="I45" s="15" t="n"/>
      <c r="J45" s="15" t="n"/>
      <c r="K45" s="15" t="n"/>
      <c r="L45" s="15" t="n"/>
      <c r="M45" s="15" t="n"/>
      <c r="N45" s="15" t="n"/>
      <c r="O45" s="15" t="n"/>
      <c r="P45" s="15" t="n"/>
      <c r="Q45" s="15" t="n"/>
      <c r="R45" s="15" t="n"/>
      <c r="S45" s="15" t="n"/>
      <c r="T45" s="15" t="n"/>
      <c r="U45" s="15" t="n"/>
      <c r="V45" s="15" t="n"/>
      <c r="W45" s="15" t="n"/>
      <c r="X45" s="15" t="n"/>
      <c r="Y45" s="15" t="n"/>
      <c r="Z45" s="15" t="n"/>
      <c r="AA45" s="15" t="n"/>
      <c r="AB45" s="15" t="n"/>
      <c r="AC45" s="15" t="n"/>
      <c r="AD45" s="15" t="n"/>
      <c r="AE45" s="15" t="n"/>
      <c r="AF45" s="15" t="n"/>
      <c r="AG45" s="15" t="n"/>
      <c r="AH45" s="15" t="n"/>
      <c r="AI45" s="15" t="n"/>
      <c r="AJ45" s="15" t="n"/>
      <c r="AK45" s="15" t="n"/>
      <c r="AL45" s="15" t="n"/>
      <c r="AM45" s="15" t="n"/>
      <c r="AN45" s="15" t="n"/>
      <c r="AO45" s="15" t="n"/>
      <c r="AP45" s="15" t="n"/>
      <c r="AQ45" s="15" t="n"/>
      <c r="AR45" s="15" t="n"/>
      <c r="AS45" s="15" t="n"/>
      <c r="AT45" s="15" t="n"/>
      <c r="AU45" s="15" t="n"/>
      <c r="AV45" s="15" t="n"/>
      <c r="AW45" s="15" t="n"/>
      <c r="AX45" s="15" t="n"/>
      <c r="AY45" s="15" t="n"/>
      <c r="AZ45" s="15" t="n"/>
      <c r="BA45" s="15" t="n"/>
      <c r="BB45" s="15" t="n"/>
      <c r="BC45" s="15" t="n"/>
      <c r="BD45" s="15" t="n"/>
      <c r="BE45" s="15" t="n"/>
      <c r="BF45" s="15" t="n"/>
      <c r="BG45" s="15" t="n"/>
      <c r="BH45" s="15" t="n"/>
      <c r="BI45" s="15" t="n"/>
      <c r="BJ45" s="15" t="n"/>
      <c r="BK45" s="15" t="n"/>
      <c r="BL45" s="15" t="n"/>
      <c r="BM45" s="15" t="n"/>
      <c r="BN45" s="15" t="n"/>
      <c r="BO45" s="15" t="n"/>
      <c r="BP45" s="15" t="n"/>
      <c r="BQ45" s="15" t="n"/>
      <c r="BR45" s="15" t="n"/>
      <c r="BS45" s="15" t="n"/>
      <c r="BT45" s="15" t="n"/>
      <c r="BU45" s="15" t="n"/>
      <c r="BV45" s="15" t="n"/>
      <c r="BW45" s="15" t="n"/>
      <c r="BX45" s="15" t="n"/>
      <c r="BY45" s="15" t="n"/>
      <c r="BZ45" s="15" t="n"/>
      <c r="CA45" s="15" t="n"/>
      <c r="CB45" s="15" t="n"/>
      <c r="CC45" s="15" t="n"/>
      <c r="CD45" s="15" t="n"/>
      <c r="CE45" s="15" t="n"/>
      <c r="CF45" s="15" t="n"/>
      <c r="CG45" s="15" t="n"/>
      <c r="CH45" s="15" t="n"/>
      <c r="CI45" s="15" t="n"/>
      <c r="CJ45" s="15" t="n"/>
      <c r="CK45" s="15" t="n"/>
      <c r="CL45" s="15" t="n"/>
      <c r="CM45" s="15" t="n"/>
      <c r="CN45" s="15" t="n"/>
      <c r="CO45" s="15" t="n"/>
      <c r="CP45" s="15" t="n"/>
      <c r="CQ45" s="15" t="n"/>
      <c r="CR45" s="15" t="n"/>
      <c r="CS45" s="15" t="n"/>
      <c r="CT45" s="15" t="n"/>
      <c r="CU45" s="15" t="n"/>
      <c r="CV45" s="15" t="n"/>
      <c r="CW45" s="15" t="n"/>
      <c r="CX45" s="15" t="n"/>
      <c r="CY45" s="16" t="inlineStr">
        <is>
          <t>I+C</t>
        </is>
      </c>
      <c r="CZ45" s="15" t="n"/>
      <c r="DA45" s="15" t="n"/>
      <c r="DB45" s="15" t="n"/>
      <c r="DC45" s="15" t="n"/>
      <c r="DD45" s="15" t="n"/>
      <c r="DE45" s="15" t="n"/>
      <c r="DF45" s="15" t="n"/>
      <c r="DG45" s="15" t="n"/>
      <c r="DH45" s="15" t="n"/>
      <c r="DI45" s="15" t="n"/>
      <c r="DJ45" s="15" t="n"/>
      <c r="DK45" s="17" t="inlineStr">
        <is>
          <t>I</t>
        </is>
      </c>
      <c r="DL45" s="15" t="n"/>
    </row>
    <row r="46">
      <c r="A46" s="14" t="inlineStr">
        <is>
          <t>12(b)</t>
        </is>
      </c>
      <c r="B46" s="7" t="inlineStr">
        <is>
          <t>Bond - amount &gt; Rs.1,000</t>
        </is>
      </c>
      <c r="C46" s="15" t="n"/>
      <c r="D46" s="15" t="n"/>
      <c r="E46" s="15" t="n"/>
      <c r="F46" s="15" t="n"/>
      <c r="G46" s="15" t="n"/>
      <c r="H46" s="15" t="n"/>
      <c r="I46" s="15" t="n"/>
      <c r="J46" s="15" t="n"/>
      <c r="K46" s="15" t="n"/>
      <c r="L46" s="15" t="n"/>
      <c r="M46" s="15" t="n"/>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c r="AH46" s="15" t="n"/>
      <c r="AI46" s="15" t="n"/>
      <c r="AJ46" s="15" t="n"/>
      <c r="AK46" s="15" t="n"/>
      <c r="AL46" s="15" t="n"/>
      <c r="AM46" s="15" t="n"/>
      <c r="AN46" s="15" t="n"/>
      <c r="AO46" s="15" t="n"/>
      <c r="AP46" s="15" t="n"/>
      <c r="AQ46" s="15" t="n"/>
      <c r="AR46" s="15" t="n"/>
      <c r="AS46" s="15" t="n"/>
      <c r="AT46" s="15" t="n"/>
      <c r="AU46" s="15" t="n"/>
      <c r="AV46" s="15" t="n"/>
      <c r="AW46" s="15" t="n"/>
      <c r="AX46" s="15" t="n"/>
      <c r="AY46" s="15" t="n"/>
      <c r="AZ46" s="15" t="n"/>
      <c r="BA46" s="15" t="n"/>
      <c r="BB46" s="15" t="n"/>
      <c r="BC46" s="15" t="n"/>
      <c r="BD46" s="15" t="n"/>
      <c r="BE46" s="15" t="n"/>
      <c r="BF46" s="15" t="n"/>
      <c r="BG46" s="15" t="n"/>
      <c r="BH46" s="15" t="n"/>
      <c r="BI46" s="15" t="n"/>
      <c r="BJ46" s="15" t="n"/>
      <c r="BK46" s="15" t="n"/>
      <c r="BL46" s="15" t="n"/>
      <c r="BM46" s="15" t="n"/>
      <c r="BN46" s="15" t="n"/>
      <c r="BO46" s="15" t="n"/>
      <c r="BP46" s="15" t="n"/>
      <c r="BQ46" s="15" t="n"/>
      <c r="BR46" s="15" t="n"/>
      <c r="BS46" s="15" t="n"/>
      <c r="BT46" s="15" t="n"/>
      <c r="BU46" s="15" t="n"/>
      <c r="BV46" s="15" t="n"/>
      <c r="BW46" s="15" t="n"/>
      <c r="BX46" s="15" t="n"/>
      <c r="BY46" s="15" t="n"/>
      <c r="BZ46" s="15" t="n"/>
      <c r="CA46" s="15" t="n"/>
      <c r="CB46" s="15" t="n"/>
      <c r="CC46" s="15" t="n"/>
      <c r="CD46" s="15" t="n"/>
      <c r="CE46" s="15" t="n"/>
      <c r="CF46" s="15" t="n"/>
      <c r="CG46" s="15" t="n"/>
      <c r="CH46" s="15" t="n"/>
      <c r="CI46" s="15" t="n"/>
      <c r="CJ46" s="15" t="n"/>
      <c r="CK46" s="15" t="n"/>
      <c r="CL46" s="15" t="n"/>
      <c r="CM46" s="15" t="n"/>
      <c r="CN46" s="15" t="n"/>
      <c r="CO46" s="15" t="n"/>
      <c r="CP46" s="15" t="n"/>
      <c r="CQ46" s="15" t="n"/>
      <c r="CR46" s="15" t="n"/>
      <c r="CS46" s="15" t="n"/>
      <c r="CT46" s="15" t="n"/>
      <c r="CU46" s="15" t="n"/>
      <c r="CV46" s="15" t="n"/>
      <c r="CW46" s="15" t="n"/>
      <c r="CX46" s="15" t="n"/>
      <c r="CY46" s="16" t="inlineStr">
        <is>
          <t>I+C</t>
        </is>
      </c>
      <c r="CZ46" s="15" t="n"/>
      <c r="DA46" s="15" t="n"/>
      <c r="DB46" s="15" t="n"/>
      <c r="DC46" s="15" t="n"/>
      <c r="DD46" s="15" t="n"/>
      <c r="DE46" s="15" t="n"/>
      <c r="DF46" s="15" t="n"/>
      <c r="DG46" s="15" t="n"/>
      <c r="DH46" s="15" t="n"/>
      <c r="DI46" s="15" t="n"/>
      <c r="DJ46" s="15" t="n"/>
      <c r="DK46" s="17" t="inlineStr">
        <is>
          <t>I</t>
        </is>
      </c>
      <c r="DL46" s="15" t="n"/>
    </row>
    <row r="47">
      <c r="A47" s="14" t="inlineStr">
        <is>
          <t>13</t>
        </is>
      </c>
      <c r="B47" s="7" t="inlineStr">
        <is>
          <t>Bottomry bond</t>
        </is>
      </c>
      <c r="C47" s="15" t="n"/>
      <c r="D47" s="15" t="n"/>
      <c r="E47" s="15" t="n"/>
      <c r="F47" s="15" t="n"/>
      <c r="G47" s="15" t="n"/>
      <c r="H47" s="15" t="n"/>
      <c r="I47" s="15" t="n"/>
      <c r="J47" s="15" t="n"/>
      <c r="K47" s="15" t="n"/>
      <c r="L47" s="15" t="n"/>
      <c r="M47" s="15" t="n"/>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c r="AH47" s="15" t="n"/>
      <c r="AI47" s="15" t="n"/>
      <c r="AJ47" s="15" t="n"/>
      <c r="AK47" s="15" t="n"/>
      <c r="AL47" s="15" t="n"/>
      <c r="AM47" s="15" t="n"/>
      <c r="AN47" s="15" t="n"/>
      <c r="AO47" s="15" t="n"/>
      <c r="AP47" s="15" t="n"/>
      <c r="AQ47" s="15" t="n"/>
      <c r="AR47" s="15" t="n"/>
      <c r="AS47" s="15" t="n"/>
      <c r="AT47" s="15" t="n"/>
      <c r="AU47" s="15" t="n"/>
      <c r="AV47" s="15" t="n"/>
      <c r="AW47" s="15" t="n"/>
      <c r="AX47" s="15" t="n"/>
      <c r="AY47" s="15" t="n"/>
      <c r="AZ47" s="15" t="n"/>
      <c r="BA47" s="15" t="n"/>
      <c r="BB47" s="15" t="n"/>
      <c r="BC47" s="15" t="n"/>
      <c r="BD47" s="15" t="n"/>
      <c r="BE47" s="15" t="n"/>
      <c r="BF47" s="15" t="n"/>
      <c r="BG47" s="15" t="n"/>
      <c r="BH47" s="15" t="n"/>
      <c r="BI47" s="15" t="n"/>
      <c r="BJ47" s="15" t="n"/>
      <c r="BK47" s="15" t="n"/>
      <c r="BL47" s="15" t="n"/>
      <c r="BM47" s="15" t="n"/>
      <c r="BN47" s="15" t="n"/>
      <c r="BO47" s="15" t="n"/>
      <c r="BP47" s="15" t="n"/>
      <c r="BQ47" s="15" t="n"/>
      <c r="BR47" s="15" t="n"/>
      <c r="BS47" s="15" t="n"/>
      <c r="BT47" s="15" t="n"/>
      <c r="BU47" s="15" t="n"/>
      <c r="BV47" s="15" t="n"/>
      <c r="BW47" s="15" t="n"/>
      <c r="BX47" s="15" t="n"/>
      <c r="BY47" s="15" t="n"/>
      <c r="BZ47" s="15" t="n"/>
      <c r="CA47" s="15" t="n"/>
      <c r="CB47" s="15" t="n"/>
      <c r="CC47" s="15" t="n"/>
      <c r="CD47" s="15" t="n"/>
      <c r="CE47" s="15" t="n"/>
      <c r="CF47" s="15" t="n"/>
      <c r="CG47" s="15" t="n"/>
      <c r="CH47" s="15" t="n"/>
      <c r="CI47" s="15" t="n"/>
      <c r="CJ47" s="15" t="n"/>
      <c r="CK47" s="15" t="n"/>
      <c r="CL47" s="15" t="n"/>
      <c r="CM47" s="15" t="n"/>
      <c r="CN47" s="15" t="n"/>
      <c r="CO47" s="15" t="n"/>
      <c r="CP47" s="15" t="n"/>
      <c r="CQ47" s="15" t="n"/>
      <c r="CR47" s="15" t="n"/>
      <c r="CS47" s="15" t="n"/>
      <c r="CT47" s="15" t="n"/>
      <c r="CU47" s="15" t="n"/>
      <c r="CV47" s="15" t="n"/>
      <c r="CW47" s="15" t="n"/>
      <c r="CX47" s="15" t="n"/>
      <c r="CY47" s="19" t="inlineStr">
        <is>
          <t>C</t>
        </is>
      </c>
      <c r="CZ47" s="15" t="n"/>
      <c r="DA47" s="15" t="n"/>
      <c r="DB47" s="15" t="n"/>
      <c r="DC47" s="15" t="n"/>
      <c r="DD47" s="15" t="n"/>
      <c r="DE47" s="15" t="n"/>
      <c r="DF47" s="15" t="n"/>
      <c r="DG47" s="15" t="n"/>
      <c r="DH47" s="15" t="n"/>
      <c r="DI47" s="15" t="n"/>
      <c r="DJ47" s="15" t="n"/>
      <c r="DK47" s="15" t="n"/>
      <c r="DL47" s="15" t="n"/>
    </row>
    <row r="48">
      <c r="A48" s="14" t="inlineStr">
        <is>
          <t>14(a)</t>
        </is>
      </c>
      <c r="B48" s="7" t="inlineStr">
        <is>
          <t>Cancellation - having effect of reconveyance</t>
        </is>
      </c>
      <c r="C48" s="15" t="n"/>
      <c r="D48" s="15" t="n"/>
      <c r="E48" s="15" t="n"/>
      <c r="F48" s="19" t="inlineStr">
        <is>
          <t>C</t>
        </is>
      </c>
      <c r="G48" s="15" t="n"/>
      <c r="H48" s="15" t="n"/>
      <c r="I48" s="15" t="n"/>
      <c r="J48" s="15" t="n"/>
      <c r="K48" s="15" t="n"/>
      <c r="L48" s="15" t="n"/>
      <c r="M48" s="15" t="n"/>
      <c r="N48" s="15" t="n"/>
      <c r="O48" s="15" t="n"/>
      <c r="P48" s="15" t="n"/>
      <c r="Q48" s="15" t="n"/>
      <c r="R48" s="15" t="n"/>
      <c r="S48" s="15" t="n"/>
      <c r="T48" s="15" t="n"/>
      <c r="U48" s="15" t="n"/>
      <c r="V48" s="15" t="n"/>
      <c r="W48" s="15" t="n"/>
      <c r="X48" s="15" t="n"/>
      <c r="Y48" s="15" t="n"/>
      <c r="Z48" s="15" t="n"/>
      <c r="AA48" s="15" t="n"/>
      <c r="AB48" s="15" t="n"/>
      <c r="AC48" s="15" t="n"/>
      <c r="AD48" s="15" t="n"/>
      <c r="AE48" s="15" t="n"/>
      <c r="AF48" s="15" t="n"/>
      <c r="AG48" s="15" t="n"/>
      <c r="AH48" s="15" t="n"/>
      <c r="AI48" s="15" t="n"/>
      <c r="AJ48" s="15" t="n"/>
      <c r="AK48" s="15" t="n"/>
      <c r="AL48" s="15" t="n"/>
      <c r="AM48" s="15" t="n"/>
      <c r="AN48" s="15" t="n"/>
      <c r="AO48" s="15" t="n"/>
      <c r="AP48" s="15" t="n"/>
      <c r="AQ48" s="15" t="n"/>
      <c r="AR48" s="15" t="n"/>
      <c r="AS48" s="15" t="n"/>
      <c r="AT48" s="15" t="n"/>
      <c r="AU48" s="15" t="n"/>
      <c r="AV48" s="15" t="n"/>
      <c r="AW48" s="15" t="n"/>
      <c r="AX48" s="15" t="n"/>
      <c r="AY48" s="15" t="n"/>
      <c r="AZ48" s="15" t="n"/>
      <c r="BA48" s="15" t="n"/>
      <c r="BB48" s="15" t="n"/>
      <c r="BC48" s="15" t="n"/>
      <c r="BD48" s="15" t="n"/>
      <c r="BE48" s="15" t="n"/>
      <c r="BF48" s="15" t="n"/>
      <c r="BG48" s="15" t="n"/>
      <c r="BH48" s="15" t="n"/>
      <c r="BI48" s="15" t="n"/>
      <c r="BJ48" s="15" t="n"/>
      <c r="BK48" s="15" t="n"/>
      <c r="BL48" s="15" t="n"/>
      <c r="BM48" s="15" t="n"/>
      <c r="BN48" s="15" t="n"/>
      <c r="BO48" s="15" t="n"/>
      <c r="BP48" s="15" t="n"/>
      <c r="BQ48" s="15" t="n"/>
      <c r="BR48" s="15" t="n"/>
      <c r="BS48" s="15" t="n"/>
      <c r="BT48" s="15" t="n"/>
      <c r="BU48" s="15" t="n"/>
      <c r="BV48" s="15" t="n"/>
      <c r="BW48" s="15" t="n"/>
      <c r="BX48" s="15" t="n"/>
      <c r="BY48" s="15" t="n"/>
      <c r="BZ48" s="15" t="n"/>
      <c r="CA48" s="15" t="n"/>
      <c r="CB48" s="15" t="n"/>
      <c r="CC48" s="15" t="n"/>
      <c r="CD48" s="15" t="n"/>
      <c r="CE48" s="15" t="n"/>
      <c r="CF48" s="15" t="n"/>
      <c r="CG48" s="15" t="n"/>
      <c r="CH48" s="15" t="n"/>
      <c r="CI48" s="15" t="n"/>
      <c r="CJ48" s="15" t="n"/>
      <c r="CK48" s="15" t="n"/>
      <c r="CL48" s="15" t="n"/>
      <c r="CM48" s="15" t="n"/>
      <c r="CN48" s="15" t="n"/>
      <c r="CO48" s="15" t="n"/>
      <c r="CP48" s="15" t="n"/>
      <c r="CQ48" s="15" t="n"/>
      <c r="CR48" s="15" t="n"/>
      <c r="CS48" s="15" t="n"/>
      <c r="CT48" s="16" t="inlineStr">
        <is>
          <t>I+C</t>
        </is>
      </c>
      <c r="CU48" s="17" t="inlineStr">
        <is>
          <t>I</t>
        </is>
      </c>
      <c r="CV48" s="17" t="inlineStr">
        <is>
          <t>I</t>
        </is>
      </c>
      <c r="CW48" s="19" t="inlineStr">
        <is>
          <t>C</t>
        </is>
      </c>
      <c r="CX48" s="19" t="inlineStr">
        <is>
          <t>C</t>
        </is>
      </c>
      <c r="CY48" s="15" t="n"/>
      <c r="CZ48" s="15" t="n"/>
      <c r="DA48" s="15" t="n"/>
      <c r="DB48" s="15" t="n"/>
      <c r="DC48" s="15" t="n"/>
      <c r="DD48" s="15" t="n"/>
      <c r="DE48" s="15" t="n"/>
      <c r="DF48" s="15" t="n"/>
      <c r="DG48" s="15" t="n"/>
      <c r="DH48" s="15" t="n"/>
      <c r="DI48" s="15" t="n"/>
      <c r="DJ48" s="15" t="n"/>
      <c r="DK48" s="15" t="n"/>
      <c r="DL48" s="15" t="n"/>
    </row>
    <row r="49">
      <c r="A49" s="14" t="inlineStr">
        <is>
          <t>14(b)</t>
        </is>
      </c>
      <c r="B49" s="7" t="inlineStr">
        <is>
          <t>Cancellation of instrument executed by Govt / authority / Govt body corporate</t>
        </is>
      </c>
      <c r="C49" s="15" t="n"/>
      <c r="D49" s="15" t="n"/>
      <c r="E49" s="15" t="n"/>
      <c r="F49" s="15" t="n"/>
      <c r="G49" s="15" t="n"/>
      <c r="H49" s="15" t="n"/>
      <c r="I49" s="15" t="n"/>
      <c r="J49" s="15" t="n"/>
      <c r="K49" s="15" t="n"/>
      <c r="L49" s="15" t="n"/>
      <c r="M49" s="15" t="n"/>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c r="AH49" s="15" t="n"/>
      <c r="AI49" s="15" t="n"/>
      <c r="AJ49" s="15" t="n"/>
      <c r="AK49" s="15" t="n"/>
      <c r="AL49" s="15" t="n"/>
      <c r="AM49" s="15" t="n"/>
      <c r="AN49" s="15" t="n"/>
      <c r="AO49" s="15" t="n"/>
      <c r="AP49" s="15" t="n"/>
      <c r="AQ49" s="15" t="n"/>
      <c r="AR49" s="15" t="n"/>
      <c r="AS49" s="15" t="n"/>
      <c r="AT49" s="15" t="n"/>
      <c r="AU49" s="15" t="n"/>
      <c r="AV49" s="15" t="n"/>
      <c r="AW49" s="15" t="n"/>
      <c r="AX49" s="15" t="n"/>
      <c r="AY49" s="15" t="n"/>
      <c r="AZ49" s="15" t="n"/>
      <c r="BA49" s="15" t="n"/>
      <c r="BB49" s="15" t="n"/>
      <c r="BC49" s="15" t="n"/>
      <c r="BD49" s="15" t="n"/>
      <c r="BE49" s="15" t="n"/>
      <c r="BF49" s="15" t="n"/>
      <c r="BG49" s="15" t="n"/>
      <c r="BH49" s="15" t="n"/>
      <c r="BI49" s="15" t="n"/>
      <c r="BJ49" s="15" t="n"/>
      <c r="BK49" s="15" t="n"/>
      <c r="BL49" s="15" t="n"/>
      <c r="BM49" s="15" t="n"/>
      <c r="BN49" s="15" t="n"/>
      <c r="BO49" s="15" t="n"/>
      <c r="BP49" s="15" t="n"/>
      <c r="BQ49" s="15" t="n"/>
      <c r="BR49" s="15" t="n"/>
      <c r="BS49" s="15" t="n"/>
      <c r="BT49" s="15" t="n"/>
      <c r="BU49" s="15" t="n"/>
      <c r="BV49" s="15" t="n"/>
      <c r="BW49" s="15" t="n"/>
      <c r="BX49" s="15" t="n"/>
      <c r="BY49" s="15" t="n"/>
      <c r="BZ49" s="15" t="n"/>
      <c r="CA49" s="15" t="n"/>
      <c r="CB49" s="15" t="n"/>
      <c r="CC49" s="15" t="n"/>
      <c r="CD49" s="15" t="n"/>
      <c r="CE49" s="15" t="n"/>
      <c r="CF49" s="15" t="n"/>
      <c r="CG49" s="15" t="n"/>
      <c r="CH49" s="15" t="n"/>
      <c r="CI49" s="15" t="n"/>
      <c r="CJ49" s="15" t="n"/>
      <c r="CK49" s="15" t="n"/>
      <c r="CL49" s="15" t="n"/>
      <c r="CM49" s="15" t="n"/>
      <c r="CN49" s="15" t="n"/>
      <c r="CO49" s="15" t="n"/>
      <c r="CP49" s="15" t="n"/>
      <c r="CQ49" s="15" t="n"/>
      <c r="CR49" s="15" t="n"/>
      <c r="CS49" s="15" t="n"/>
      <c r="CT49" s="17" t="inlineStr">
        <is>
          <t>I</t>
        </is>
      </c>
      <c r="CU49" s="17" t="inlineStr">
        <is>
          <t>I</t>
        </is>
      </c>
      <c r="CV49" s="15" t="n"/>
      <c r="CW49" s="15" t="n"/>
      <c r="CX49" s="15" t="n"/>
      <c r="CY49" s="15" t="n"/>
      <c r="CZ49" s="15" t="n"/>
      <c r="DA49" s="15" t="n"/>
      <c r="DB49" s="15" t="n"/>
      <c r="DC49" s="15" t="n"/>
      <c r="DD49" s="15" t="n"/>
      <c r="DE49" s="15" t="n"/>
      <c r="DF49" s="15" t="n"/>
      <c r="DG49" s="15" t="n"/>
      <c r="DH49" s="15" t="n"/>
      <c r="DI49" s="15" t="n"/>
      <c r="DJ49" s="15" t="n"/>
      <c r="DK49" s="15" t="n"/>
      <c r="DL49" s="15" t="n"/>
    </row>
    <row r="50">
      <c r="A50" s="14" t="inlineStr">
        <is>
          <t>14(c)</t>
        </is>
      </c>
      <c r="B50" s="7" t="inlineStr">
        <is>
          <t>Cancellation - any other case</t>
        </is>
      </c>
      <c r="C50" s="15" t="n"/>
      <c r="D50" s="15" t="n"/>
      <c r="E50" s="15" t="n"/>
      <c r="F50" s="15" t="n"/>
      <c r="G50" s="15" t="n"/>
      <c r="H50" s="15" t="n"/>
      <c r="I50" s="15" t="n"/>
      <c r="J50" s="15" t="n"/>
      <c r="K50" s="15" t="n"/>
      <c r="L50" s="15" t="n"/>
      <c r="M50" s="15" t="n"/>
      <c r="N50" s="15" t="n"/>
      <c r="O50" s="15" t="n"/>
      <c r="P50" s="15" t="n"/>
      <c r="Q50" s="15" t="n"/>
      <c r="R50" s="15" t="n"/>
      <c r="S50" s="15" t="n"/>
      <c r="T50" s="15" t="n"/>
      <c r="U50" s="15" t="n"/>
      <c r="V50" s="15" t="n"/>
      <c r="W50" s="15" t="n"/>
      <c r="X50" s="15" t="n"/>
      <c r="Y50" s="15" t="n"/>
      <c r="Z50" s="15" t="n"/>
      <c r="AA50" s="15" t="n"/>
      <c r="AB50" s="15" t="n"/>
      <c r="AC50" s="15" t="n"/>
      <c r="AD50" s="15" t="n"/>
      <c r="AE50" s="15" t="n"/>
      <c r="AF50" s="15" t="n"/>
      <c r="AG50" s="15" t="n"/>
      <c r="AH50" s="17" t="inlineStr">
        <is>
          <t>I</t>
        </is>
      </c>
      <c r="AI50" s="15" t="n"/>
      <c r="AJ50" s="15" t="n"/>
      <c r="AK50" s="15" t="n"/>
      <c r="AL50" s="15" t="n"/>
      <c r="AM50" s="15" t="n"/>
      <c r="AN50" s="15" t="n"/>
      <c r="AO50" s="15" t="n"/>
      <c r="AP50" s="15" t="n"/>
      <c r="AQ50" s="15" t="n"/>
      <c r="AR50" s="15" t="n"/>
      <c r="AS50" s="15" t="n"/>
      <c r="AT50" s="15" t="n"/>
      <c r="AU50" s="15" t="n"/>
      <c r="AV50" s="15" t="n"/>
      <c r="AW50" s="15" t="n"/>
      <c r="AX50" s="15" t="n"/>
      <c r="AY50" s="15" t="n"/>
      <c r="AZ50" s="15" t="n"/>
      <c r="BA50" s="15" t="n"/>
      <c r="BB50" s="15" t="n"/>
      <c r="BC50" s="15" t="n"/>
      <c r="BD50" s="15" t="n"/>
      <c r="BE50" s="15" t="n"/>
      <c r="BF50" s="15" t="n"/>
      <c r="BG50" s="15" t="n"/>
      <c r="BH50" s="15" t="n"/>
      <c r="BI50" s="15" t="n"/>
      <c r="BJ50" s="15" t="n"/>
      <c r="BK50" s="15" t="n"/>
      <c r="BL50" s="15" t="n"/>
      <c r="BM50" s="15" t="n"/>
      <c r="BN50" s="15" t="n"/>
      <c r="BO50" s="15" t="n"/>
      <c r="BP50" s="15" t="n"/>
      <c r="BQ50" s="15" t="n"/>
      <c r="BR50" s="15" t="n"/>
      <c r="BS50" s="15" t="n"/>
      <c r="BT50" s="15" t="n"/>
      <c r="BU50" s="15" t="n"/>
      <c r="BV50" s="15" t="n"/>
      <c r="BW50" s="15" t="n"/>
      <c r="BX50" s="15" t="n"/>
      <c r="BY50" s="15" t="n"/>
      <c r="BZ50" s="15" t="n"/>
      <c r="CA50" s="15" t="n"/>
      <c r="CB50" s="15" t="n"/>
      <c r="CC50" s="15" t="n"/>
      <c r="CD50" s="15" t="n"/>
      <c r="CE50" s="15" t="n"/>
      <c r="CF50" s="15" t="n"/>
      <c r="CG50" s="15" t="n"/>
      <c r="CH50" s="15" t="n"/>
      <c r="CI50" s="15" t="n"/>
      <c r="CJ50" s="15" t="n"/>
      <c r="CK50" s="15" t="n"/>
      <c r="CL50" s="15" t="n"/>
      <c r="CM50" s="15" t="n"/>
      <c r="CN50" s="15" t="n"/>
      <c r="CO50" s="15" t="n"/>
      <c r="CP50" s="15" t="n"/>
      <c r="CQ50" s="15" t="n"/>
      <c r="CR50" s="15" t="n"/>
      <c r="CS50" s="15" t="n"/>
      <c r="CT50" s="17" t="inlineStr">
        <is>
          <t>I</t>
        </is>
      </c>
      <c r="CU50" s="17" t="inlineStr">
        <is>
          <t>I</t>
        </is>
      </c>
      <c r="CV50" s="17" t="inlineStr">
        <is>
          <t>I</t>
        </is>
      </c>
      <c r="CW50" s="15" t="n"/>
      <c r="CX50" s="15" t="n"/>
      <c r="CY50" s="15" t="n"/>
      <c r="CZ50" s="15" t="n"/>
      <c r="DA50" s="15" t="n"/>
      <c r="DB50" s="15" t="n"/>
      <c r="DC50" s="15" t="n"/>
      <c r="DD50" s="15" t="n"/>
      <c r="DE50" s="15" t="n"/>
      <c r="DF50" s="15" t="n"/>
      <c r="DG50" s="15" t="n"/>
      <c r="DH50" s="15" t="n"/>
      <c r="DI50" s="15" t="n"/>
      <c r="DJ50" s="15" t="n"/>
      <c r="DK50" s="15" t="n"/>
      <c r="DL50" s="15" t="n"/>
    </row>
    <row r="51">
      <c r="A51" s="14" t="inlineStr">
        <is>
          <t>15(a)</t>
        </is>
      </c>
      <c r="B51" s="7" t="inlineStr">
        <is>
          <t>Certificate of sale - purchase money &lt;= Rs.10</t>
        </is>
      </c>
      <c r="C51" s="15" t="n"/>
      <c r="D51" s="15" t="n"/>
      <c r="E51" s="15" t="n"/>
      <c r="F51" s="15" t="n"/>
      <c r="G51" s="15" t="n"/>
      <c r="H51" s="15" t="n"/>
      <c r="I51" s="15" t="n"/>
      <c r="J51" s="15" t="n"/>
      <c r="K51" s="15" t="n"/>
      <c r="L51" s="15" t="n"/>
      <c r="M51" s="15" t="n"/>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c r="AH51" s="15" t="n"/>
      <c r="AI51" s="15" t="n"/>
      <c r="AJ51" s="15" t="n"/>
      <c r="AK51" s="15" t="n"/>
      <c r="AL51" s="15" t="n"/>
      <c r="AM51" s="15" t="n"/>
      <c r="AN51" s="15" t="n"/>
      <c r="AO51" s="15" t="n"/>
      <c r="AP51" s="15" t="n"/>
      <c r="AQ51" s="15" t="n"/>
      <c r="AR51" s="15" t="n"/>
      <c r="AS51" s="15" t="n"/>
      <c r="AT51" s="15" t="n"/>
      <c r="AU51" s="15" t="n"/>
      <c r="AV51" s="15" t="n"/>
      <c r="AW51" s="15" t="n"/>
      <c r="AX51" s="15" t="n"/>
      <c r="AY51" s="15" t="n"/>
      <c r="AZ51" s="15" t="n"/>
      <c r="BA51" s="15" t="n"/>
      <c r="BB51" s="15" t="n"/>
      <c r="BC51" s="15" t="n"/>
      <c r="BD51" s="15" t="n"/>
      <c r="BE51" s="15" t="n"/>
      <c r="BF51" s="15" t="n"/>
      <c r="BG51" s="15" t="n"/>
      <c r="BH51" s="15" t="n"/>
      <c r="BI51" s="15" t="n"/>
      <c r="BJ51" s="15" t="n"/>
      <c r="BK51" s="15" t="n"/>
      <c r="BL51" s="15" t="n"/>
      <c r="BM51" s="15" t="n"/>
      <c r="BN51" s="15" t="n"/>
      <c r="BO51" s="15" t="n"/>
      <c r="BP51" s="15" t="n"/>
      <c r="BQ51" s="15" t="n"/>
      <c r="BR51" s="15" t="n"/>
      <c r="BS51" s="15" t="n"/>
      <c r="BT51" s="15" t="n"/>
      <c r="BU51" s="15" t="n"/>
      <c r="BV51" s="15" t="n"/>
      <c r="BW51" s="15" t="n"/>
      <c r="BX51" s="15" t="n"/>
      <c r="BY51" s="15" t="n"/>
      <c r="BZ51" s="15" t="n"/>
      <c r="CA51" s="15" t="n"/>
      <c r="CB51" s="15" t="n"/>
      <c r="CC51" s="15" t="n"/>
      <c r="CD51" s="15" t="n"/>
      <c r="CE51" s="15" t="n"/>
      <c r="CF51" s="15" t="n"/>
      <c r="CG51" s="15" t="n"/>
      <c r="CH51" s="15" t="n"/>
      <c r="CI51" s="15" t="n"/>
      <c r="CJ51" s="15" t="n"/>
      <c r="CK51" s="15" t="n"/>
      <c r="CL51" s="15" t="n"/>
      <c r="CM51" s="15" t="n"/>
      <c r="CN51" s="15" t="n"/>
      <c r="CO51" s="15" t="n"/>
      <c r="CP51" s="15" t="n"/>
      <c r="CQ51" s="15" t="n"/>
      <c r="CR51" s="15" t="n"/>
      <c r="CS51" s="15" t="n"/>
      <c r="CT51" s="15" t="n"/>
      <c r="CU51" s="15" t="n"/>
      <c r="CV51" s="15" t="n"/>
      <c r="CW51" s="15" t="n"/>
      <c r="CX51" s="15" t="n"/>
      <c r="CY51" s="15" t="n"/>
      <c r="CZ51" s="15" t="n"/>
      <c r="DA51" s="15" t="n"/>
      <c r="DB51" s="15" t="n"/>
      <c r="DC51" s="15" t="n"/>
      <c r="DD51" s="15" t="n"/>
      <c r="DE51" s="17" t="inlineStr">
        <is>
          <t>I</t>
        </is>
      </c>
      <c r="DF51" s="15" t="n"/>
      <c r="DG51" s="15" t="n"/>
      <c r="DH51" s="15" t="n"/>
      <c r="DI51" s="15" t="n"/>
      <c r="DJ51" s="15" t="n"/>
      <c r="DK51" s="15" t="n"/>
      <c r="DL51" s="15" t="n"/>
    </row>
    <row r="52">
      <c r="A52" s="14" t="inlineStr">
        <is>
          <t>15(b)</t>
        </is>
      </c>
      <c r="B52" s="7" t="inlineStr">
        <is>
          <t>Certificate of sale - purchase money &gt; Rs.10</t>
        </is>
      </c>
      <c r="C52" s="15" t="n"/>
      <c r="D52" s="15" t="n"/>
      <c r="E52" s="15" t="n"/>
      <c r="F52" s="15" t="n"/>
      <c r="G52" s="15" t="n"/>
      <c r="H52" s="15" t="n"/>
      <c r="I52" s="15" t="n"/>
      <c r="J52" s="15" t="n"/>
      <c r="K52" s="15" t="n"/>
      <c r="L52" s="15" t="n"/>
      <c r="M52" s="15" t="n"/>
      <c r="N52" s="15" t="n"/>
      <c r="O52" s="15" t="n"/>
      <c r="P52" s="15" t="n"/>
      <c r="Q52" s="15" t="n"/>
      <c r="R52" s="15" t="n"/>
      <c r="S52" s="15" t="n"/>
      <c r="T52" s="15" t="n"/>
      <c r="U52" s="15" t="n"/>
      <c r="V52" s="15" t="n"/>
      <c r="W52" s="15" t="n"/>
      <c r="X52" s="15" t="n"/>
      <c r="Y52" s="15" t="n"/>
      <c r="Z52" s="15" t="n"/>
      <c r="AA52" s="15" t="n"/>
      <c r="AB52" s="15" t="n"/>
      <c r="AC52" s="15" t="n"/>
      <c r="AD52" s="15" t="n"/>
      <c r="AE52" s="15" t="n"/>
      <c r="AF52" s="15" t="n"/>
      <c r="AG52" s="15" t="n"/>
      <c r="AH52" s="15" t="n"/>
      <c r="AI52" s="15" t="n"/>
      <c r="AJ52" s="15" t="n"/>
      <c r="AK52" s="15" t="n"/>
      <c r="AL52" s="15" t="n"/>
      <c r="AM52" s="15" t="n"/>
      <c r="AN52" s="15" t="n"/>
      <c r="AO52" s="15" t="n"/>
      <c r="AP52" s="15" t="n"/>
      <c r="AQ52" s="15" t="n"/>
      <c r="AR52" s="15" t="n"/>
      <c r="AS52" s="15" t="n"/>
      <c r="AT52" s="15" t="n"/>
      <c r="AU52" s="15" t="n"/>
      <c r="AV52" s="15" t="n"/>
      <c r="AW52" s="15" t="n"/>
      <c r="AX52" s="15" t="n"/>
      <c r="AY52" s="15" t="n"/>
      <c r="AZ52" s="15" t="n"/>
      <c r="BA52" s="15" t="n"/>
      <c r="BB52" s="15" t="n"/>
      <c r="BC52" s="15" t="n"/>
      <c r="BD52" s="15" t="n"/>
      <c r="BE52" s="15" t="n"/>
      <c r="BF52" s="15" t="n"/>
      <c r="BG52" s="15" t="n"/>
      <c r="BH52" s="15" t="n"/>
      <c r="BI52" s="15" t="n"/>
      <c r="BJ52" s="15" t="n"/>
      <c r="BK52" s="15" t="n"/>
      <c r="BL52" s="15" t="n"/>
      <c r="BM52" s="15" t="n"/>
      <c r="BN52" s="15" t="n"/>
      <c r="BO52" s="15" t="n"/>
      <c r="BP52" s="15" t="n"/>
      <c r="BQ52" s="15" t="n"/>
      <c r="BR52" s="15" t="n"/>
      <c r="BS52" s="15" t="n"/>
      <c r="BT52" s="15" t="n"/>
      <c r="BU52" s="15" t="n"/>
      <c r="BV52" s="15" t="n"/>
      <c r="BW52" s="15" t="n"/>
      <c r="BX52" s="15" t="n"/>
      <c r="BY52" s="15" t="n"/>
      <c r="BZ52" s="15" t="n"/>
      <c r="CA52" s="15" t="n"/>
      <c r="CB52" s="15" t="n"/>
      <c r="CC52" s="15" t="n"/>
      <c r="CD52" s="15" t="n"/>
      <c r="CE52" s="15" t="n"/>
      <c r="CF52" s="15" t="n"/>
      <c r="CG52" s="15" t="n"/>
      <c r="CH52" s="15" t="n"/>
      <c r="CI52" s="15" t="n"/>
      <c r="CJ52" s="15" t="n"/>
      <c r="CK52" s="15" t="n"/>
      <c r="CL52" s="15" t="n"/>
      <c r="CM52" s="15" t="n"/>
      <c r="CN52" s="15" t="n"/>
      <c r="CO52" s="15" t="n"/>
      <c r="CP52" s="15" t="n"/>
      <c r="CQ52" s="15" t="n"/>
      <c r="CR52" s="15" t="n"/>
      <c r="CS52" s="15" t="n"/>
      <c r="CT52" s="15" t="n"/>
      <c r="CU52" s="15" t="n"/>
      <c r="CV52" s="15" t="n"/>
      <c r="CW52" s="15" t="n"/>
      <c r="CX52" s="15" t="n"/>
      <c r="CY52" s="15" t="n"/>
      <c r="CZ52" s="15" t="n"/>
      <c r="DA52" s="15" t="n"/>
      <c r="DB52" s="15" t="n"/>
      <c r="DC52" s="15" t="n"/>
      <c r="DD52" s="15" t="n"/>
      <c r="DE52" s="17" t="inlineStr">
        <is>
          <t>I</t>
        </is>
      </c>
      <c r="DF52" s="15" t="n"/>
      <c r="DG52" s="15" t="n"/>
      <c r="DH52" s="15" t="n"/>
      <c r="DI52" s="15" t="n"/>
      <c r="DJ52" s="15" t="n"/>
      <c r="DK52" s="15" t="n"/>
      <c r="DL52" s="15" t="n"/>
    </row>
    <row r="53">
      <c r="A53" s="14" t="inlineStr">
        <is>
          <t>15(c)</t>
        </is>
      </c>
      <c r="B53" s="7" t="inlineStr">
        <is>
          <t>Certificate of sale - any other case</t>
        </is>
      </c>
      <c r="C53" s="15" t="n"/>
      <c r="D53" s="15" t="n"/>
      <c r="E53" s="15" t="n"/>
      <c r="F53" s="15" t="n"/>
      <c r="G53" s="15" t="n"/>
      <c r="H53" s="15" t="n"/>
      <c r="I53" s="15" t="n"/>
      <c r="J53" s="15" t="n"/>
      <c r="K53" s="15" t="n"/>
      <c r="L53" s="15" t="n"/>
      <c r="M53" s="15" t="n"/>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c r="AH53" s="15" t="n"/>
      <c r="AI53" s="15" t="n"/>
      <c r="AJ53" s="15" t="n"/>
      <c r="AK53" s="15" t="n"/>
      <c r="AL53" s="15" t="n"/>
      <c r="AM53" s="15" t="n"/>
      <c r="AN53" s="15" t="n"/>
      <c r="AO53" s="15" t="n"/>
      <c r="AP53" s="15" t="n"/>
      <c r="AQ53" s="15" t="n"/>
      <c r="AR53" s="15" t="n"/>
      <c r="AS53" s="15" t="n"/>
      <c r="AT53" s="15" t="n"/>
      <c r="AU53" s="15" t="n"/>
      <c r="AV53" s="15" t="n"/>
      <c r="AW53" s="15" t="n"/>
      <c r="AX53" s="15" t="n"/>
      <c r="AY53" s="15" t="n"/>
      <c r="AZ53" s="15" t="n"/>
      <c r="BA53" s="15" t="n"/>
      <c r="BB53" s="15" t="n"/>
      <c r="BC53" s="15" t="n"/>
      <c r="BD53" s="15" t="n"/>
      <c r="BE53" s="15" t="n"/>
      <c r="BF53" s="15" t="n"/>
      <c r="BG53" s="15" t="n"/>
      <c r="BH53" s="15" t="n"/>
      <c r="BI53" s="15" t="n"/>
      <c r="BJ53" s="15" t="n"/>
      <c r="BK53" s="15" t="n"/>
      <c r="BL53" s="15" t="n"/>
      <c r="BM53" s="15" t="n"/>
      <c r="BN53" s="15" t="n"/>
      <c r="BO53" s="15" t="n"/>
      <c r="BP53" s="15" t="n"/>
      <c r="BQ53" s="15" t="n"/>
      <c r="BR53" s="15" t="n"/>
      <c r="BS53" s="15" t="n"/>
      <c r="BT53" s="15" t="n"/>
      <c r="BU53" s="15" t="n"/>
      <c r="BV53" s="15" t="n"/>
      <c r="BW53" s="15" t="n"/>
      <c r="BX53" s="15" t="n"/>
      <c r="BY53" s="15" t="n"/>
      <c r="BZ53" s="15" t="n"/>
      <c r="CA53" s="15" t="n"/>
      <c r="CB53" s="15" t="n"/>
      <c r="CC53" s="15" t="n"/>
      <c r="CD53" s="15" t="n"/>
      <c r="CE53" s="15" t="n"/>
      <c r="CF53" s="15" t="n"/>
      <c r="CG53" s="15" t="n"/>
      <c r="CH53" s="15" t="n"/>
      <c r="CI53" s="15" t="n"/>
      <c r="CJ53" s="15" t="n"/>
      <c r="CK53" s="15" t="n"/>
      <c r="CL53" s="15" t="n"/>
      <c r="CM53" s="15" t="n"/>
      <c r="CN53" s="15" t="n"/>
      <c r="CO53" s="15" t="n"/>
      <c r="CP53" s="15" t="n"/>
      <c r="CQ53" s="15" t="n"/>
      <c r="CR53" s="15" t="n"/>
      <c r="CS53" s="15" t="n"/>
      <c r="CT53" s="15" t="n"/>
      <c r="CU53" s="15" t="n"/>
      <c r="CV53" s="15" t="n"/>
      <c r="CW53" s="15" t="n"/>
      <c r="CX53" s="15" t="n"/>
      <c r="CY53" s="15" t="n"/>
      <c r="CZ53" s="15" t="n"/>
      <c r="DA53" s="15" t="n"/>
      <c r="DB53" s="15" t="n"/>
      <c r="DC53" s="15" t="n"/>
      <c r="DD53" s="15" t="n"/>
      <c r="DE53" s="16" t="inlineStr">
        <is>
          <t>I+C</t>
        </is>
      </c>
      <c r="DF53" s="15" t="n"/>
      <c r="DG53" s="15" t="n"/>
      <c r="DH53" s="15" t="n"/>
      <c r="DI53" s="15" t="n"/>
      <c r="DJ53" s="15" t="n"/>
      <c r="DK53" s="15" t="n"/>
      <c r="DL53" s="15" t="n"/>
    </row>
    <row r="54">
      <c r="A54" s="14" t="inlineStr">
        <is>
          <t>16</t>
        </is>
      </c>
      <c r="B54" s="7" t="inlineStr">
        <is>
          <t>Share certificate / document of title to shares</t>
        </is>
      </c>
      <c r="C54" s="15" t="n"/>
      <c r="D54" s="15" t="n"/>
      <c r="E54" s="15" t="n"/>
      <c r="F54" s="15" t="n"/>
      <c r="G54" s="15" t="n"/>
      <c r="H54" s="15" t="n"/>
      <c r="I54" s="15" t="n"/>
      <c r="J54" s="15" t="n"/>
      <c r="K54" s="15" t="n"/>
      <c r="L54" s="15" t="n"/>
      <c r="M54" s="15" t="n"/>
      <c r="N54" s="15" t="n"/>
      <c r="O54" s="15" t="n"/>
      <c r="P54" s="15" t="n"/>
      <c r="Q54" s="15" t="n"/>
      <c r="R54" s="15" t="n"/>
      <c r="S54" s="15" t="n"/>
      <c r="T54" s="15" t="n"/>
      <c r="U54" s="15" t="n"/>
      <c r="V54" s="15" t="n"/>
      <c r="W54" s="15" t="n"/>
      <c r="X54" s="15" t="n"/>
      <c r="Y54" s="15" t="n"/>
      <c r="Z54" s="15" t="n"/>
      <c r="AA54" s="15" t="n"/>
      <c r="AB54" s="15" t="n"/>
      <c r="AC54" s="15" t="n"/>
      <c r="AD54" s="15" t="n"/>
      <c r="AE54" s="15" t="n"/>
      <c r="AF54" s="15" t="n"/>
      <c r="AG54" s="15" t="n"/>
      <c r="AH54" s="15" t="n"/>
      <c r="AI54" s="15" t="n"/>
      <c r="AJ54" s="15" t="n"/>
      <c r="AK54" s="15" t="n"/>
      <c r="AL54" s="15" t="n"/>
      <c r="AM54" s="15" t="n"/>
      <c r="AN54" s="15" t="n"/>
      <c r="AO54" s="15" t="n"/>
      <c r="AP54" s="15" t="n"/>
      <c r="AQ54" s="15" t="n"/>
      <c r="AR54" s="15" t="n"/>
      <c r="AS54" s="15" t="n"/>
      <c r="AT54" s="15" t="n"/>
      <c r="AU54" s="15" t="n"/>
      <c r="AV54" s="15" t="n"/>
      <c r="AW54" s="15" t="n"/>
      <c r="AX54" s="15" t="n"/>
      <c r="AY54" s="15" t="n"/>
      <c r="AZ54" s="15" t="n"/>
      <c r="BA54" s="15" t="n"/>
      <c r="BB54" s="15" t="n"/>
      <c r="BC54" s="15" t="n"/>
      <c r="BD54" s="15" t="n"/>
      <c r="BE54" s="15" t="n"/>
      <c r="BF54" s="15" t="n"/>
      <c r="BG54" s="15" t="n"/>
      <c r="BH54" s="15" t="n"/>
      <c r="BI54" s="15" t="n"/>
      <c r="BJ54" s="15" t="n"/>
      <c r="BK54" s="15" t="n"/>
      <c r="BL54" s="15" t="n"/>
      <c r="BM54" s="15" t="n"/>
      <c r="BN54" s="15" t="n"/>
      <c r="BO54" s="15" t="n"/>
      <c r="BP54" s="15" t="n"/>
      <c r="BQ54" s="15" t="n"/>
      <c r="BR54" s="15" t="n"/>
      <c r="BS54" s="15" t="n"/>
      <c r="BT54" s="15" t="n"/>
      <c r="BU54" s="15" t="n"/>
      <c r="BV54" s="15" t="n"/>
      <c r="BW54" s="15" t="n"/>
      <c r="BX54" s="15" t="n"/>
      <c r="BY54" s="15" t="n"/>
      <c r="BZ54" s="15" t="n"/>
      <c r="CA54" s="15" t="n"/>
      <c r="CB54" s="15" t="n"/>
      <c r="CC54" s="15" t="n"/>
      <c r="CD54" s="15" t="n"/>
      <c r="CE54" s="19" t="inlineStr">
        <is>
          <t>C</t>
        </is>
      </c>
      <c r="CF54" s="15" t="n"/>
      <c r="CG54" s="15" t="n"/>
      <c r="CH54" s="15" t="n"/>
      <c r="CI54" s="15" t="n"/>
      <c r="CJ54" s="15" t="n"/>
      <c r="CK54" s="15" t="n"/>
      <c r="CL54" s="15" t="n"/>
      <c r="CM54" s="15" t="n"/>
      <c r="CN54" s="15" t="n"/>
      <c r="CO54" s="15" t="n"/>
      <c r="CP54" s="15" t="n"/>
      <c r="CQ54" s="15" t="n"/>
      <c r="CR54" s="15" t="n"/>
      <c r="CS54" s="15" t="n"/>
      <c r="CT54" s="15" t="n"/>
      <c r="CU54" s="15" t="n"/>
      <c r="CV54" s="15" t="n"/>
      <c r="CW54" s="15" t="n"/>
      <c r="CX54" s="15" t="n"/>
      <c r="CY54" s="15" t="n"/>
      <c r="CZ54" s="15" t="n"/>
      <c r="DA54" s="15" t="n"/>
      <c r="DB54" s="15" t="n"/>
      <c r="DC54" s="15" t="n"/>
      <c r="DD54" s="15" t="n"/>
      <c r="DE54" s="15" t="n"/>
      <c r="DF54" s="15" t="n"/>
      <c r="DG54" s="15" t="n"/>
      <c r="DH54" s="15" t="n"/>
      <c r="DI54" s="15" t="n"/>
      <c r="DJ54" s="15" t="n"/>
      <c r="DK54" s="15" t="n"/>
      <c r="DL54" s="15" t="n"/>
    </row>
    <row r="55">
      <c r="A55" s="14" t="inlineStr">
        <is>
          <t>17</t>
        </is>
      </c>
      <c r="B55" s="7" t="inlineStr">
        <is>
          <t>Certificate of enrolment as Advocate</t>
        </is>
      </c>
      <c r="C55" s="15" t="n"/>
      <c r="D55" s="15" t="n"/>
      <c r="E55" s="15" t="n"/>
      <c r="F55" s="15" t="n"/>
      <c r="G55" s="15" t="n"/>
      <c r="H55" s="15" t="n"/>
      <c r="I55" s="15" t="n"/>
      <c r="J55" s="15" t="n"/>
      <c r="K55" s="15" t="n"/>
      <c r="L55" s="15" t="n"/>
      <c r="M55" s="15" t="n"/>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c r="AH55" s="15" t="n"/>
      <c r="AI55" s="15" t="n"/>
      <c r="AJ55" s="15" t="n"/>
      <c r="AK55" s="15" t="n"/>
      <c r="AL55" s="15" t="n"/>
      <c r="AM55" s="15" t="n"/>
      <c r="AN55" s="15" t="n"/>
      <c r="AO55" s="15" t="n"/>
      <c r="AP55" s="15" t="n"/>
      <c r="AQ55" s="15" t="n"/>
      <c r="AR55" s="15" t="n"/>
      <c r="AS55" s="15" t="n"/>
      <c r="AT55" s="15" t="n"/>
      <c r="AU55" s="15" t="n"/>
      <c r="AV55" s="15" t="n"/>
      <c r="AW55" s="15" t="n"/>
      <c r="AX55" s="15" t="n"/>
      <c r="AY55" s="15" t="n"/>
      <c r="AZ55" s="15" t="n"/>
      <c r="BA55" s="15" t="n"/>
      <c r="BB55" s="15" t="n"/>
      <c r="BC55" s="15" t="n"/>
      <c r="BD55" s="15" t="n"/>
      <c r="BE55" s="15" t="n"/>
      <c r="BF55" s="15" t="n"/>
      <c r="BG55" s="15" t="n"/>
      <c r="BH55" s="15" t="n"/>
      <c r="BI55" s="15" t="n"/>
      <c r="BJ55" s="15" t="n"/>
      <c r="BK55" s="15" t="n"/>
      <c r="BL55" s="15" t="n"/>
      <c r="BM55" s="15" t="n"/>
      <c r="BN55" s="15" t="n"/>
      <c r="BO55" s="15" t="n"/>
      <c r="BP55" s="15" t="n"/>
      <c r="BQ55" s="15" t="n"/>
      <c r="BR55" s="15" t="n"/>
      <c r="BS55" s="15" t="n"/>
      <c r="BT55" s="15" t="n"/>
      <c r="BU55" s="15" t="n"/>
      <c r="BV55" s="15" t="n"/>
      <c r="BW55" s="15" t="n"/>
      <c r="BX55" s="15" t="n"/>
      <c r="BY55" s="15" t="n"/>
      <c r="BZ55" s="15" t="n"/>
      <c r="CA55" s="15" t="n"/>
      <c r="CB55" s="15" t="n"/>
      <c r="CC55" s="15" t="n"/>
      <c r="CD55" s="15" t="n"/>
      <c r="CE55" s="15" t="n"/>
      <c r="CF55" s="15" t="n"/>
      <c r="CG55" s="15" t="n"/>
      <c r="CH55" s="15" t="n"/>
      <c r="CI55" s="15" t="n"/>
      <c r="CJ55" s="15" t="n"/>
      <c r="CK55" s="15" t="n"/>
      <c r="CL55" s="15" t="n"/>
      <c r="CM55" s="15" t="n"/>
      <c r="CN55" s="15" t="n"/>
      <c r="CO55" s="15" t="n"/>
      <c r="CP55" s="15" t="n"/>
      <c r="CQ55" s="15" t="n"/>
      <c r="CR55" s="15" t="n"/>
      <c r="CS55" s="15" t="n"/>
      <c r="CT55" s="15" t="n"/>
      <c r="CU55" s="15" t="n"/>
      <c r="CV55" s="15" t="n"/>
      <c r="CW55" s="15" t="n"/>
      <c r="CX55" s="15" t="n"/>
      <c r="CY55" s="15" t="n"/>
      <c r="CZ55" s="15" t="n"/>
      <c r="DA55" s="15" t="n"/>
      <c r="DB55" s="15" t="n"/>
      <c r="DC55" s="15" t="n"/>
      <c r="DD55" s="15" t="n"/>
      <c r="DE55" s="15" t="n"/>
      <c r="DF55" s="15" t="n"/>
      <c r="DG55" s="15" t="n"/>
      <c r="DH55" s="15" t="n"/>
      <c r="DI55" s="15" t="n"/>
      <c r="DJ55" s="15" t="n"/>
      <c r="DK55" s="15" t="n"/>
      <c r="DL55" s="15" t="n"/>
    </row>
    <row r="56">
      <c r="A56" s="14" t="inlineStr">
        <is>
          <t>18</t>
        </is>
      </c>
      <c r="B56" s="7" t="inlineStr">
        <is>
          <t>Charter party</t>
        </is>
      </c>
      <c r="C56" s="15" t="n"/>
      <c r="D56" s="15" t="n"/>
      <c r="E56" s="15" t="n"/>
      <c r="F56" s="15" t="n"/>
      <c r="G56" s="15" t="n"/>
      <c r="H56" s="15" t="n"/>
      <c r="I56" s="15" t="n"/>
      <c r="J56" s="15" t="n"/>
      <c r="K56" s="15" t="n"/>
      <c r="L56" s="15" t="n"/>
      <c r="M56" s="15" t="n"/>
      <c r="N56" s="15" t="n"/>
      <c r="O56" s="15" t="n"/>
      <c r="P56" s="15" t="n"/>
      <c r="Q56" s="15" t="n"/>
      <c r="R56" s="15" t="n"/>
      <c r="S56" s="15" t="n"/>
      <c r="T56" s="15" t="n"/>
      <c r="U56" s="15" t="n"/>
      <c r="V56" s="15" t="n"/>
      <c r="W56" s="15" t="n"/>
      <c r="X56" s="15" t="n"/>
      <c r="Y56" s="15" t="n"/>
      <c r="Z56" s="15" t="n"/>
      <c r="AA56" s="15" t="n"/>
      <c r="AB56" s="15" t="n"/>
      <c r="AC56" s="15" t="n"/>
      <c r="AD56" s="15" t="n"/>
      <c r="AE56" s="15" t="n"/>
      <c r="AF56" s="15" t="n"/>
      <c r="AG56" s="15" t="n"/>
      <c r="AH56" s="15" t="n"/>
      <c r="AI56" s="15" t="n"/>
      <c r="AJ56" s="15" t="n"/>
      <c r="AK56" s="15" t="n"/>
      <c r="AL56" s="15" t="n"/>
      <c r="AM56" s="15" t="n"/>
      <c r="AN56" s="15" t="n"/>
      <c r="AO56" s="15" t="n"/>
      <c r="AP56" s="15" t="n"/>
      <c r="AQ56" s="15" t="n"/>
      <c r="AR56" s="15" t="n"/>
      <c r="AS56" s="15" t="n"/>
      <c r="AT56" s="15" t="n"/>
      <c r="AU56" s="15" t="n"/>
      <c r="AV56" s="15" t="n"/>
      <c r="AW56" s="15" t="n"/>
      <c r="AX56" s="15" t="n"/>
      <c r="AY56" s="15" t="n"/>
      <c r="AZ56" s="15" t="n"/>
      <c r="BA56" s="15" t="n"/>
      <c r="BB56" s="15" t="n"/>
      <c r="BC56" s="15" t="n"/>
      <c r="BD56" s="15" t="n"/>
      <c r="BE56" s="15" t="n"/>
      <c r="BF56" s="15" t="n"/>
      <c r="BG56" s="15" t="n"/>
      <c r="BH56" s="15" t="n"/>
      <c r="BI56" s="15" t="n"/>
      <c r="BJ56" s="15" t="n"/>
      <c r="BK56" s="15" t="n"/>
      <c r="BL56" s="15" t="n"/>
      <c r="BM56" s="15" t="n"/>
      <c r="BN56" s="15" t="n"/>
      <c r="BO56" s="15" t="n"/>
      <c r="BP56" s="15" t="n"/>
      <c r="BQ56" s="15" t="n"/>
      <c r="BR56" s="15" t="n"/>
      <c r="BS56" s="15" t="n"/>
      <c r="BT56" s="15" t="n"/>
      <c r="BU56" s="15" t="n"/>
      <c r="BV56" s="15" t="n"/>
      <c r="BW56" s="15" t="n"/>
      <c r="BX56" s="15" t="n"/>
      <c r="BY56" s="15" t="n"/>
      <c r="BZ56" s="15" t="n"/>
      <c r="CA56" s="15" t="n"/>
      <c r="CB56" s="15" t="n"/>
      <c r="CC56" s="15" t="n"/>
      <c r="CD56" s="15" t="n"/>
      <c r="CE56" s="15" t="n"/>
      <c r="CF56" s="15" t="n"/>
      <c r="CG56" s="15" t="n"/>
      <c r="CH56" s="15" t="n"/>
      <c r="CI56" s="15" t="n"/>
      <c r="CJ56" s="15" t="n"/>
      <c r="CK56" s="15" t="n"/>
      <c r="CL56" s="15" t="n"/>
      <c r="CM56" s="15" t="n"/>
      <c r="CN56" s="15" t="n"/>
      <c r="CO56" s="15" t="n"/>
      <c r="CP56" s="15" t="n"/>
      <c r="CQ56" s="15" t="n"/>
      <c r="CR56" s="15" t="n"/>
      <c r="CS56" s="15" t="n"/>
      <c r="CT56" s="15" t="n"/>
      <c r="CU56" s="15" t="n"/>
      <c r="CV56" s="15" t="n"/>
      <c r="CW56" s="15" t="n"/>
      <c r="CX56" s="15" t="n"/>
      <c r="CY56" s="15" t="n"/>
      <c r="CZ56" s="15" t="n"/>
      <c r="DA56" s="15" t="n"/>
      <c r="DB56" s="15" t="n"/>
      <c r="DC56" s="15" t="n"/>
      <c r="DD56" s="15" t="n"/>
      <c r="DE56" s="15" t="n"/>
      <c r="DF56" s="15" t="n"/>
      <c r="DG56" s="15" t="n"/>
      <c r="DH56" s="15" t="n"/>
      <c r="DI56" s="15" t="n"/>
      <c r="DJ56" s="15" t="n"/>
      <c r="DK56" s="15" t="n"/>
      <c r="DL56" s="15" t="n"/>
    </row>
    <row r="57">
      <c r="A57" s="14" t="inlineStr">
        <is>
          <t>18-A(1)</t>
        </is>
      </c>
      <c r="B57" s="7" t="inlineStr">
        <is>
          <t>Clearance list - Govt securities</t>
        </is>
      </c>
      <c r="C57" s="15" t="n"/>
      <c r="D57" s="15" t="n"/>
      <c r="E57" s="15" t="n"/>
      <c r="F57" s="15" t="n"/>
      <c r="G57" s="15" t="n"/>
      <c r="H57" s="15" t="n"/>
      <c r="I57" s="15" t="n"/>
      <c r="J57" s="15" t="n"/>
      <c r="K57" s="15" t="n"/>
      <c r="L57" s="15" t="n"/>
      <c r="M57" s="15" t="n"/>
      <c r="N57" s="15" t="n"/>
      <c r="O57" s="15" t="n"/>
      <c r="P57" s="15" t="n"/>
      <c r="Q57" s="15" t="n"/>
      <c r="R57" s="15" t="n"/>
      <c r="S57" s="15" t="n"/>
      <c r="T57" s="15" t="n"/>
      <c r="U57" s="15" t="n"/>
      <c r="V57" s="15" t="n"/>
      <c r="W57" s="15" t="n"/>
      <c r="X57" s="15" t="n"/>
      <c r="Y57" s="15" t="n"/>
      <c r="Z57" s="15" t="n"/>
      <c r="AA57" s="19" t="inlineStr">
        <is>
          <t>C</t>
        </is>
      </c>
      <c r="AB57" s="15" t="n"/>
      <c r="AC57" s="15" t="n"/>
      <c r="AD57" s="15" t="n"/>
      <c r="AE57" s="15" t="n"/>
      <c r="AF57" s="15" t="n"/>
      <c r="AG57" s="15" t="n"/>
      <c r="AH57" s="15" t="n"/>
      <c r="AI57" s="15" t="n"/>
      <c r="AJ57" s="15" t="n"/>
      <c r="AK57" s="15" t="n"/>
      <c r="AL57" s="15" t="n"/>
      <c r="AM57" s="15" t="n"/>
      <c r="AN57" s="15" t="n"/>
      <c r="AO57" s="15" t="n"/>
      <c r="AP57" s="15" t="n"/>
      <c r="AQ57" s="15" t="n"/>
      <c r="AR57" s="15" t="n"/>
      <c r="AS57" s="15" t="n"/>
      <c r="AT57" s="15" t="n"/>
      <c r="AU57" s="15" t="n"/>
      <c r="AV57" s="15" t="n"/>
      <c r="AW57" s="15" t="n"/>
      <c r="AX57" s="15" t="n"/>
      <c r="AY57" s="15" t="n"/>
      <c r="AZ57" s="15" t="n"/>
      <c r="BA57" s="15" t="n"/>
      <c r="BB57" s="15" t="n"/>
      <c r="BC57" s="15" t="n"/>
      <c r="BD57" s="15" t="n"/>
      <c r="BE57" s="15" t="n"/>
      <c r="BF57" s="15" t="n"/>
      <c r="BG57" s="15" t="n"/>
      <c r="BH57" s="15" t="n"/>
      <c r="BI57" s="15" t="n"/>
      <c r="BJ57" s="15" t="n"/>
      <c r="BK57" s="15" t="n"/>
      <c r="BL57" s="15" t="n"/>
      <c r="BM57" s="15" t="n"/>
      <c r="BN57" s="15" t="n"/>
      <c r="BO57" s="15" t="n"/>
      <c r="BP57" s="15" t="n"/>
      <c r="BQ57" s="15" t="n"/>
      <c r="BR57" s="15" t="n"/>
      <c r="BS57" s="15" t="n"/>
      <c r="BT57" s="15" t="n"/>
      <c r="BU57" s="15" t="n"/>
      <c r="BV57" s="15" t="n"/>
      <c r="BW57" s="15" t="n"/>
      <c r="BX57" s="15" t="n"/>
      <c r="BY57" s="15" t="n"/>
      <c r="BZ57" s="15" t="n"/>
      <c r="CA57" s="15" t="n"/>
      <c r="CB57" s="15" t="n"/>
      <c r="CC57" s="15" t="n"/>
      <c r="CD57" s="15" t="n"/>
      <c r="CE57" s="15" t="n"/>
      <c r="CF57" s="15" t="n"/>
      <c r="CG57" s="15" t="n"/>
      <c r="CH57" s="15" t="n"/>
      <c r="CI57" s="15" t="n"/>
      <c r="CJ57" s="17" t="inlineStr">
        <is>
          <t>I</t>
        </is>
      </c>
      <c r="CK57" s="15" t="n"/>
      <c r="CL57" s="15" t="n"/>
      <c r="CM57" s="15" t="n"/>
      <c r="CN57" s="15" t="n"/>
      <c r="CO57" s="15" t="n"/>
      <c r="CP57" s="15" t="n"/>
      <c r="CQ57" s="15" t="n"/>
      <c r="CR57" s="15" t="n"/>
      <c r="CS57" s="15" t="n"/>
      <c r="CT57" s="15" t="n"/>
      <c r="CU57" s="15" t="n"/>
      <c r="CV57" s="15" t="n"/>
      <c r="CW57" s="15" t="n"/>
      <c r="CX57" s="15" t="n"/>
      <c r="CY57" s="15" t="n"/>
      <c r="CZ57" s="15" t="n"/>
      <c r="DA57" s="15" t="n"/>
      <c r="DB57" s="15" t="n"/>
      <c r="DC57" s="15" t="n"/>
      <c r="DD57" s="15" t="n"/>
      <c r="DE57" s="15" t="n"/>
      <c r="DF57" s="15" t="n"/>
      <c r="DG57" s="15" t="n"/>
      <c r="DH57" s="15" t="n"/>
      <c r="DI57" s="15" t="n"/>
      <c r="DJ57" s="15" t="n"/>
      <c r="DK57" s="15" t="n"/>
      <c r="DL57" s="15" t="n"/>
    </row>
    <row r="58">
      <c r="A58" s="14" t="inlineStr">
        <is>
          <t>18-A(2)</t>
        </is>
      </c>
      <c r="B58" s="7" t="inlineStr">
        <is>
          <t>Clearance list - securities, recognised exchange</t>
        </is>
      </c>
      <c r="C58" s="15" t="n"/>
      <c r="D58" s="15" t="n"/>
      <c r="E58" s="15" t="n"/>
      <c r="F58" s="15" t="n"/>
      <c r="G58" s="15" t="n"/>
      <c r="H58" s="15" t="n"/>
      <c r="I58" s="15" t="n"/>
      <c r="J58" s="15" t="n"/>
      <c r="K58" s="15" t="n"/>
      <c r="L58" s="15" t="n"/>
      <c r="M58" s="15" t="n"/>
      <c r="N58" s="15" t="n"/>
      <c r="O58" s="15" t="n"/>
      <c r="P58" s="15" t="n"/>
      <c r="Q58" s="15" t="n"/>
      <c r="R58" s="15" t="n"/>
      <c r="S58" s="15" t="n"/>
      <c r="T58" s="15" t="n"/>
      <c r="U58" s="15" t="n"/>
      <c r="V58" s="15" t="n"/>
      <c r="W58" s="15" t="n"/>
      <c r="X58" s="15" t="n"/>
      <c r="Y58" s="15" t="n"/>
      <c r="Z58" s="15" t="n"/>
      <c r="AA58" s="19" t="inlineStr">
        <is>
          <t>C</t>
        </is>
      </c>
      <c r="AB58" s="15" t="n"/>
      <c r="AC58" s="15" t="n"/>
      <c r="AD58" s="15" t="n"/>
      <c r="AE58" s="15" t="n"/>
      <c r="AF58" s="15" t="n"/>
      <c r="AG58" s="15" t="n"/>
      <c r="AH58" s="15" t="n"/>
      <c r="AI58" s="15" t="n"/>
      <c r="AJ58" s="15" t="n"/>
      <c r="AK58" s="15" t="n"/>
      <c r="AL58" s="15" t="n"/>
      <c r="AM58" s="15" t="n"/>
      <c r="AN58" s="15" t="n"/>
      <c r="AO58" s="15" t="n"/>
      <c r="AP58" s="15" t="n"/>
      <c r="AQ58" s="15" t="n"/>
      <c r="AR58" s="15" t="n"/>
      <c r="AS58" s="15" t="n"/>
      <c r="AT58" s="15" t="n"/>
      <c r="AU58" s="15" t="n"/>
      <c r="AV58" s="15" t="n"/>
      <c r="AW58" s="15" t="n"/>
      <c r="AX58" s="15" t="n"/>
      <c r="AY58" s="15" t="n"/>
      <c r="AZ58" s="15" t="n"/>
      <c r="BA58" s="15" t="n"/>
      <c r="BB58" s="15" t="n"/>
      <c r="BC58" s="15" t="n"/>
      <c r="BD58" s="15" t="n"/>
      <c r="BE58" s="15" t="n"/>
      <c r="BF58" s="15" t="n"/>
      <c r="BG58" s="15" t="n"/>
      <c r="BH58" s="15" t="n"/>
      <c r="BI58" s="15" t="n"/>
      <c r="BJ58" s="15" t="n"/>
      <c r="BK58" s="15" t="n"/>
      <c r="BL58" s="15" t="n"/>
      <c r="BM58" s="15" t="n"/>
      <c r="BN58" s="15" t="n"/>
      <c r="BO58" s="15" t="n"/>
      <c r="BP58" s="15" t="n"/>
      <c r="BQ58" s="15" t="n"/>
      <c r="BR58" s="15" t="n"/>
      <c r="BS58" s="15" t="n"/>
      <c r="BT58" s="15" t="n"/>
      <c r="BU58" s="15" t="n"/>
      <c r="BV58" s="15" t="n"/>
      <c r="BW58" s="15" t="n"/>
      <c r="BX58" s="15" t="n"/>
      <c r="BY58" s="15" t="n"/>
      <c r="BZ58" s="15" t="n"/>
      <c r="CA58" s="15" t="n"/>
      <c r="CB58" s="15" t="n"/>
      <c r="CC58" s="15" t="n"/>
      <c r="CD58" s="15" t="n"/>
      <c r="CE58" s="15" t="n"/>
      <c r="CF58" s="15" t="n"/>
      <c r="CG58" s="15" t="n"/>
      <c r="CH58" s="15" t="n"/>
      <c r="CI58" s="15" t="n"/>
      <c r="CJ58" s="17" t="inlineStr">
        <is>
          <t>I</t>
        </is>
      </c>
      <c r="CK58" s="15" t="n"/>
      <c r="CL58" s="15" t="n"/>
      <c r="CM58" s="15" t="n"/>
      <c r="CN58" s="15" t="n"/>
      <c r="CO58" s="15" t="n"/>
      <c r="CP58" s="15" t="n"/>
      <c r="CQ58" s="15" t="n"/>
      <c r="CR58" s="15" t="n"/>
      <c r="CS58" s="15" t="n"/>
      <c r="CT58" s="15" t="n"/>
      <c r="CU58" s="15" t="n"/>
      <c r="CV58" s="15" t="n"/>
      <c r="CW58" s="15" t="n"/>
      <c r="CX58" s="15" t="n"/>
      <c r="CY58" s="15" t="n"/>
      <c r="CZ58" s="15" t="n"/>
      <c r="DA58" s="15" t="n"/>
      <c r="DB58" s="15" t="n"/>
      <c r="DC58" s="15" t="n"/>
      <c r="DD58" s="15" t="n"/>
      <c r="DE58" s="15" t="n"/>
      <c r="DF58" s="15" t="n"/>
      <c r="DG58" s="15" t="n"/>
      <c r="DH58" s="15" t="n"/>
      <c r="DI58" s="15" t="n"/>
      <c r="DJ58" s="15" t="n"/>
      <c r="DK58" s="15" t="n"/>
      <c r="DL58" s="15" t="n"/>
    </row>
    <row r="59">
      <c r="A59" s="14" t="inlineStr">
        <is>
          <t>18-A(3)</t>
        </is>
      </c>
      <c r="B59" s="7" t="inlineStr">
        <is>
          <t>Clearance list - securities, unrecognised exchange</t>
        </is>
      </c>
      <c r="C59" s="15" t="n"/>
      <c r="D59" s="15" t="n"/>
      <c r="E59" s="15" t="n"/>
      <c r="F59" s="15" t="n"/>
      <c r="G59" s="15" t="n"/>
      <c r="H59" s="15" t="n"/>
      <c r="I59" s="15" t="n"/>
      <c r="J59" s="15" t="n"/>
      <c r="K59" s="15" t="n"/>
      <c r="L59" s="15" t="n"/>
      <c r="M59" s="15" t="n"/>
      <c r="N59" s="15" t="n"/>
      <c r="O59" s="15" t="n"/>
      <c r="P59" s="15" t="n"/>
      <c r="Q59" s="15" t="n"/>
      <c r="R59" s="15" t="n"/>
      <c r="S59" s="15" t="n"/>
      <c r="T59" s="15" t="n"/>
      <c r="U59" s="15" t="n"/>
      <c r="V59" s="15" t="n"/>
      <c r="W59" s="15" t="n"/>
      <c r="X59" s="15" t="n"/>
      <c r="Y59" s="15" t="n"/>
      <c r="Z59" s="15" t="n"/>
      <c r="AA59" s="19" t="inlineStr">
        <is>
          <t>C</t>
        </is>
      </c>
      <c r="AB59" s="15" t="n"/>
      <c r="AC59" s="15" t="n"/>
      <c r="AD59" s="15" t="n"/>
      <c r="AE59" s="15" t="n"/>
      <c r="AF59" s="15" t="n"/>
      <c r="AG59" s="15" t="n"/>
      <c r="AH59" s="15" t="n"/>
      <c r="AI59" s="15" t="n"/>
      <c r="AJ59" s="15" t="n"/>
      <c r="AK59" s="15" t="n"/>
      <c r="AL59" s="15" t="n"/>
      <c r="AM59" s="15" t="n"/>
      <c r="AN59" s="15" t="n"/>
      <c r="AO59" s="15" t="n"/>
      <c r="AP59" s="15" t="n"/>
      <c r="AQ59" s="15" t="n"/>
      <c r="AR59" s="15" t="n"/>
      <c r="AS59" s="15" t="n"/>
      <c r="AT59" s="15" t="n"/>
      <c r="AU59" s="15" t="n"/>
      <c r="AV59" s="15" t="n"/>
      <c r="AW59" s="15" t="n"/>
      <c r="AX59" s="15" t="n"/>
      <c r="AY59" s="15" t="n"/>
      <c r="AZ59" s="15" t="n"/>
      <c r="BA59" s="15" t="n"/>
      <c r="BB59" s="15" t="n"/>
      <c r="BC59" s="15" t="n"/>
      <c r="BD59" s="15" t="n"/>
      <c r="BE59" s="15" t="n"/>
      <c r="BF59" s="15" t="n"/>
      <c r="BG59" s="15" t="n"/>
      <c r="BH59" s="15" t="n"/>
      <c r="BI59" s="15" t="n"/>
      <c r="BJ59" s="15" t="n"/>
      <c r="BK59" s="15" t="n"/>
      <c r="BL59" s="15" t="n"/>
      <c r="BM59" s="15" t="n"/>
      <c r="BN59" s="15" t="n"/>
      <c r="BO59" s="15" t="n"/>
      <c r="BP59" s="15" t="n"/>
      <c r="BQ59" s="15" t="n"/>
      <c r="BR59" s="15" t="n"/>
      <c r="BS59" s="15" t="n"/>
      <c r="BT59" s="15" t="n"/>
      <c r="BU59" s="15" t="n"/>
      <c r="BV59" s="15" t="n"/>
      <c r="BW59" s="15" t="n"/>
      <c r="BX59" s="15" t="n"/>
      <c r="BY59" s="15" t="n"/>
      <c r="BZ59" s="15" t="n"/>
      <c r="CA59" s="15" t="n"/>
      <c r="CB59" s="15" t="n"/>
      <c r="CC59" s="15" t="n"/>
      <c r="CD59" s="15" t="n"/>
      <c r="CE59" s="15" t="n"/>
      <c r="CF59" s="15" t="n"/>
      <c r="CG59" s="15" t="n"/>
      <c r="CH59" s="15" t="n"/>
      <c r="CI59" s="15" t="n"/>
      <c r="CJ59" s="17" t="inlineStr">
        <is>
          <t>I</t>
        </is>
      </c>
      <c r="CK59" s="15" t="n"/>
      <c r="CL59" s="15" t="n"/>
      <c r="CM59" s="15" t="n"/>
      <c r="CN59" s="15" t="n"/>
      <c r="CO59" s="15" t="n"/>
      <c r="CP59" s="15" t="n"/>
      <c r="CQ59" s="15" t="n"/>
      <c r="CR59" s="15" t="n"/>
      <c r="CS59" s="15" t="n"/>
      <c r="CT59" s="15" t="n"/>
      <c r="CU59" s="15" t="n"/>
      <c r="CV59" s="15" t="n"/>
      <c r="CW59" s="15" t="n"/>
      <c r="CX59" s="15" t="n"/>
      <c r="CY59" s="15" t="n"/>
      <c r="CZ59" s="15" t="n"/>
      <c r="DA59" s="15" t="n"/>
      <c r="DB59" s="15" t="n"/>
      <c r="DC59" s="15" t="n"/>
      <c r="DD59" s="15" t="n"/>
      <c r="DE59" s="15" t="n"/>
      <c r="DF59" s="15" t="n"/>
      <c r="DG59" s="15" t="n"/>
      <c r="DH59" s="15" t="n"/>
      <c r="DI59" s="15" t="n"/>
      <c r="DJ59" s="15" t="n"/>
      <c r="DK59" s="15" t="n"/>
      <c r="DL59" s="15" t="n"/>
    </row>
    <row r="60">
      <c r="A60" s="14" t="inlineStr">
        <is>
          <t>19</t>
        </is>
      </c>
      <c r="B60" s="7" t="inlineStr">
        <is>
          <t>Composition deed</t>
        </is>
      </c>
      <c r="C60" s="15" t="n"/>
      <c r="D60" s="15" t="n"/>
      <c r="E60" s="15" t="n"/>
      <c r="F60" s="15" t="n"/>
      <c r="G60" s="15" t="n"/>
      <c r="H60" s="15" t="n"/>
      <c r="I60" s="15" t="n"/>
      <c r="J60" s="15" t="n"/>
      <c r="K60" s="15" t="n"/>
      <c r="L60" s="15" t="n"/>
      <c r="M60" s="15" t="n"/>
      <c r="N60" s="15" t="n"/>
      <c r="O60" s="15" t="n"/>
      <c r="P60" s="15" t="n"/>
      <c r="Q60" s="15" t="n"/>
      <c r="R60" s="15" t="n"/>
      <c r="S60" s="15" t="n"/>
      <c r="T60" s="15" t="n"/>
      <c r="U60" s="15" t="n"/>
      <c r="V60" s="15" t="n"/>
      <c r="W60" s="15" t="n"/>
      <c r="X60" s="15" t="n"/>
      <c r="Y60" s="15" t="n"/>
      <c r="Z60" s="15" t="n"/>
      <c r="AA60" s="15" t="n"/>
      <c r="AB60" s="15" t="n"/>
      <c r="AC60" s="15" t="n"/>
      <c r="AD60" s="15" t="n"/>
      <c r="AE60" s="15" t="n"/>
      <c r="AF60" s="15" t="n"/>
      <c r="AG60" s="15" t="n"/>
      <c r="AH60" s="15" t="n"/>
      <c r="AI60" s="15" t="n"/>
      <c r="AJ60" s="15" t="n"/>
      <c r="AK60" s="15" t="n"/>
      <c r="AL60" s="15" t="n"/>
      <c r="AM60" s="15" t="n"/>
      <c r="AN60" s="15" t="n"/>
      <c r="AO60" s="15" t="n"/>
      <c r="AP60" s="15" t="n"/>
      <c r="AQ60" s="15" t="n"/>
      <c r="AR60" s="15" t="n"/>
      <c r="AS60" s="15" t="n"/>
      <c r="AT60" s="15" t="n"/>
      <c r="AU60" s="15" t="n"/>
      <c r="AV60" s="15" t="n"/>
      <c r="AW60" s="15" t="n"/>
      <c r="AX60" s="15" t="n"/>
      <c r="AY60" s="15" t="n"/>
      <c r="AZ60" s="15" t="n"/>
      <c r="BA60" s="15" t="n"/>
      <c r="BB60" s="15" t="n"/>
      <c r="BC60" s="15" t="n"/>
      <c r="BD60" s="15" t="n"/>
      <c r="BE60" s="15" t="n"/>
      <c r="BF60" s="15" t="n"/>
      <c r="BG60" s="15" t="n"/>
      <c r="BH60" s="15" t="n"/>
      <c r="BI60" s="15" t="n"/>
      <c r="BJ60" s="15" t="n"/>
      <c r="BK60" s="15" t="n"/>
      <c r="BL60" s="15" t="n"/>
      <c r="BM60" s="15" t="n"/>
      <c r="BN60" s="15" t="n"/>
      <c r="BO60" s="15" t="n"/>
      <c r="BP60" s="15" t="n"/>
      <c r="BQ60" s="15" t="n"/>
      <c r="BR60" s="15" t="n"/>
      <c r="BS60" s="15" t="n"/>
      <c r="BT60" s="15" t="n"/>
      <c r="BU60" s="15" t="n"/>
      <c r="BV60" s="15" t="n"/>
      <c r="BW60" s="15" t="n"/>
      <c r="BX60" s="15" t="n"/>
      <c r="BY60" s="15" t="n"/>
      <c r="BZ60" s="15" t="n"/>
      <c r="CA60" s="15" t="n"/>
      <c r="CB60" s="15" t="n"/>
      <c r="CC60" s="15" t="n"/>
      <c r="CD60" s="15" t="n"/>
      <c r="CE60" s="15" t="n"/>
      <c r="CF60" s="15" t="n"/>
      <c r="CG60" s="15" t="n"/>
      <c r="CH60" s="15" t="n"/>
      <c r="CI60" s="15" t="n"/>
      <c r="CJ60" s="15" t="n"/>
      <c r="CK60" s="15" t="n"/>
      <c r="CL60" s="15" t="n"/>
      <c r="CM60" s="15" t="n"/>
      <c r="CN60" s="15" t="n"/>
      <c r="CO60" s="15" t="n"/>
      <c r="CP60" s="15" t="n"/>
      <c r="CQ60" s="15" t="n"/>
      <c r="CR60" s="15" t="n"/>
      <c r="CS60" s="15" t="n"/>
      <c r="CT60" s="15" t="n"/>
      <c r="CU60" s="15" t="n"/>
      <c r="CV60" s="15" t="n"/>
      <c r="CW60" s="15" t="n"/>
      <c r="CX60" s="15" t="n"/>
      <c r="CY60" s="15" t="n"/>
      <c r="CZ60" s="15" t="n"/>
      <c r="DA60" s="15" t="n"/>
      <c r="DB60" s="15" t="n"/>
      <c r="DC60" s="15" t="n"/>
      <c r="DD60" s="15" t="n"/>
      <c r="DE60" s="15" t="n"/>
      <c r="DF60" s="15" t="n"/>
      <c r="DG60" s="15" t="n"/>
      <c r="DH60" s="15" t="n"/>
      <c r="DI60" s="15" t="n"/>
      <c r="DJ60" s="15" t="n"/>
      <c r="DK60" s="15" t="n"/>
      <c r="DL60" s="15" t="n"/>
    </row>
    <row r="61">
      <c r="A61" s="14" t="inlineStr">
        <is>
          <t>20(1)</t>
        </is>
      </c>
      <c r="B61" s="7" t="inlineStr">
        <is>
          <t>Conveyance (general sale / transfer)</t>
        </is>
      </c>
      <c r="C61" s="15" t="n"/>
      <c r="D61" s="15" t="n"/>
      <c r="E61" s="19" t="inlineStr">
        <is>
          <t>C</t>
        </is>
      </c>
      <c r="F61" s="19" t="inlineStr">
        <is>
          <t>C</t>
        </is>
      </c>
      <c r="G61" s="18" t="inlineStr">
        <is>
          <t>E</t>
        </is>
      </c>
      <c r="H61" s="18" t="inlineStr">
        <is>
          <t>E</t>
        </is>
      </c>
      <c r="I61" s="15" t="n"/>
      <c r="J61" s="17" t="inlineStr">
        <is>
          <t>I</t>
        </is>
      </c>
      <c r="K61" s="19" t="inlineStr">
        <is>
          <t>C</t>
        </is>
      </c>
      <c r="L61" s="15" t="n"/>
      <c r="M61" s="15" t="n"/>
      <c r="N61" s="15" t="n"/>
      <c r="O61" s="17" t="inlineStr">
        <is>
          <t>I</t>
        </is>
      </c>
      <c r="P61" s="15" t="n"/>
      <c r="Q61" s="15" t="n"/>
      <c r="R61" s="15" t="n"/>
      <c r="S61" s="15" t="n"/>
      <c r="T61" s="15" t="n"/>
      <c r="U61" s="15" t="n"/>
      <c r="V61" s="15" t="n"/>
      <c r="W61" s="15" t="n"/>
      <c r="X61" s="15" t="n"/>
      <c r="Y61" s="15" t="n"/>
      <c r="Z61" s="15" t="n"/>
      <c r="AA61" s="15" t="n"/>
      <c r="AB61" s="15" t="n"/>
      <c r="AC61" s="15" t="n"/>
      <c r="AD61" s="15" t="n"/>
      <c r="AE61" s="15" t="n"/>
      <c r="AF61" s="15" t="n"/>
      <c r="AG61" s="15" t="n"/>
      <c r="AH61" s="15" t="n"/>
      <c r="AI61" s="15" t="n"/>
      <c r="AJ61" s="15" t="n"/>
      <c r="AK61" s="15" t="n"/>
      <c r="AL61" s="15" t="n"/>
      <c r="AM61" s="15" t="n"/>
      <c r="AN61" s="15" t="n"/>
      <c r="AO61" s="15" t="n"/>
      <c r="AP61" s="15" t="n"/>
      <c r="AQ61" s="15" t="n"/>
      <c r="AR61" s="15" t="n"/>
      <c r="AS61" s="15" t="n"/>
      <c r="AT61" s="15" t="n"/>
      <c r="AU61" s="15" t="n"/>
      <c r="AV61" s="15" t="n"/>
      <c r="AW61" s="15" t="n"/>
      <c r="AX61" s="15" t="n"/>
      <c r="AY61" s="15" t="n"/>
      <c r="AZ61" s="15" t="n"/>
      <c r="BA61" s="15" t="n"/>
      <c r="BB61" s="15" t="n"/>
      <c r="BC61" s="15" t="n"/>
      <c r="BD61" s="15" t="n"/>
      <c r="BE61" s="15" t="n"/>
      <c r="BF61" s="15" t="n"/>
      <c r="BG61" s="15" t="n"/>
      <c r="BH61" s="15" t="n"/>
      <c r="BI61" s="15" t="n"/>
      <c r="BJ61" s="15" t="n"/>
      <c r="BK61" s="15" t="n"/>
      <c r="BL61" s="15" t="n"/>
      <c r="BM61" s="15" t="n"/>
      <c r="BN61" s="15" t="n"/>
      <c r="BO61" s="15" t="n"/>
      <c r="BP61" s="15" t="n"/>
      <c r="BQ61" s="15" t="n"/>
      <c r="BR61" s="15" t="n"/>
      <c r="BS61" s="15" t="n"/>
      <c r="BT61" s="15" t="n"/>
      <c r="BU61" s="15" t="n"/>
      <c r="BV61" s="15" t="n"/>
      <c r="BW61" s="15" t="n"/>
      <c r="BX61" s="15" t="n"/>
      <c r="BY61" s="15" t="n"/>
      <c r="BZ61" s="15" t="n"/>
      <c r="CA61" s="15" t="n"/>
      <c r="CB61" s="15" t="n"/>
      <c r="CC61" s="15" t="n"/>
      <c r="CD61" s="15" t="n"/>
      <c r="CE61" s="15" t="n"/>
      <c r="CF61" s="15" t="n"/>
      <c r="CG61" s="15" t="n"/>
      <c r="CH61" s="15" t="n"/>
      <c r="CI61" s="15" t="n"/>
      <c r="CJ61" s="15" t="n"/>
      <c r="CK61" s="15" t="n"/>
      <c r="CL61" s="15" t="n"/>
      <c r="CM61" s="15" t="n"/>
      <c r="CN61" s="15" t="n"/>
      <c r="CO61" s="15" t="n"/>
      <c r="CP61" s="15" t="n"/>
      <c r="CQ61" s="15" t="n"/>
      <c r="CR61" s="15" t="n"/>
      <c r="CS61" s="15" t="n"/>
      <c r="CT61" s="15" t="n"/>
      <c r="CU61" s="15" t="n"/>
      <c r="CV61" s="15" t="n"/>
      <c r="CW61" s="15" t="n"/>
      <c r="CX61" s="15" t="n"/>
      <c r="CY61" s="15" t="n"/>
      <c r="CZ61" s="15" t="n"/>
      <c r="DA61" s="15" t="n"/>
      <c r="DB61" s="15" t="n"/>
      <c r="DC61" s="15" t="n"/>
      <c r="DD61" s="15" t="n"/>
      <c r="DE61" s="15" t="n"/>
      <c r="DF61" s="15" t="n"/>
      <c r="DG61" s="15" t="n"/>
      <c r="DH61" s="15" t="n"/>
      <c r="DI61" s="15" t="n"/>
      <c r="DJ61" s="15" t="n"/>
      <c r="DK61" s="15" t="n"/>
      <c r="DL61" s="15" t="n"/>
    </row>
    <row r="62">
      <c r="A62" s="14" t="inlineStr">
        <is>
          <t>20(2)</t>
        </is>
      </c>
      <c r="B62" s="7" t="inlineStr">
        <is>
          <t>Conveyance of Flat / Apartment / Unit by promoter / developer, or share transfer for unit</t>
        </is>
      </c>
      <c r="C62" s="17" t="inlineStr">
        <is>
          <t>I</t>
        </is>
      </c>
      <c r="D62" s="15" t="n"/>
      <c r="E62" s="15" t="n"/>
      <c r="F62" s="15" t="n"/>
      <c r="G62" s="15" t="n"/>
      <c r="H62" s="15" t="n"/>
      <c r="I62" s="15" t="n"/>
      <c r="J62" s="15" t="n"/>
      <c r="K62" s="19" t="inlineStr">
        <is>
          <t>C</t>
        </is>
      </c>
      <c r="L62" s="15" t="n"/>
      <c r="M62" s="15" t="n"/>
      <c r="N62" s="15" t="n"/>
      <c r="O62" s="17" t="inlineStr">
        <is>
          <t>I</t>
        </is>
      </c>
      <c r="P62" s="19" t="inlineStr">
        <is>
          <t>C</t>
        </is>
      </c>
      <c r="Q62" s="15" t="n"/>
      <c r="R62" s="15" t="n"/>
      <c r="S62" s="15" t="n"/>
      <c r="T62" s="15" t="n"/>
      <c r="U62" s="15" t="n"/>
      <c r="V62" s="15" t="n"/>
      <c r="W62" s="15" t="n"/>
      <c r="X62" s="15" t="n"/>
      <c r="Y62" s="15" t="n"/>
      <c r="Z62" s="15" t="n"/>
      <c r="AA62" s="15" t="n"/>
      <c r="AB62" s="15" t="n"/>
      <c r="AC62" s="15" t="n"/>
      <c r="AD62" s="15" t="n"/>
      <c r="AE62" s="15" t="n"/>
      <c r="AF62" s="15" t="n"/>
      <c r="AG62" s="15" t="n"/>
      <c r="AH62" s="15" t="n"/>
      <c r="AI62" s="15" t="n"/>
      <c r="AJ62" s="15" t="n"/>
      <c r="AK62" s="15" t="n"/>
      <c r="AL62" s="15" t="n"/>
      <c r="AM62" s="15" t="n"/>
      <c r="AN62" s="15" t="n"/>
      <c r="AO62" s="15" t="n"/>
      <c r="AP62" s="15" t="n"/>
      <c r="AQ62" s="15" t="n"/>
      <c r="AR62" s="15" t="n"/>
      <c r="AS62" s="15" t="n"/>
      <c r="AT62" s="15" t="n"/>
      <c r="AU62" s="15" t="n"/>
      <c r="AV62" s="15" t="n"/>
      <c r="AW62" s="15" t="n"/>
      <c r="AX62" s="15" t="n"/>
      <c r="AY62" s="15" t="n"/>
      <c r="AZ62" s="15" t="n"/>
      <c r="BA62" s="15" t="n"/>
      <c r="BB62" s="15" t="n"/>
      <c r="BC62" s="15" t="n"/>
      <c r="BD62" s="15" t="n"/>
      <c r="BE62" s="15" t="n"/>
      <c r="BF62" s="15" t="n"/>
      <c r="BG62" s="15" t="n"/>
      <c r="BH62" s="15" t="n"/>
      <c r="BI62" s="15" t="n"/>
      <c r="BJ62" s="15" t="n"/>
      <c r="BK62" s="15" t="n"/>
      <c r="BL62" s="15" t="n"/>
      <c r="BM62" s="15" t="n"/>
      <c r="BN62" s="15" t="n"/>
      <c r="BO62" s="15" t="n"/>
      <c r="BP62" s="15" t="n"/>
      <c r="BQ62" s="15" t="n"/>
      <c r="BR62" s="15" t="n"/>
      <c r="BS62" s="15" t="n"/>
      <c r="BT62" s="15" t="n"/>
      <c r="BU62" s="15" t="n"/>
      <c r="BV62" s="15" t="n"/>
      <c r="BW62" s="15" t="n"/>
      <c r="BX62" s="15" t="n"/>
      <c r="BY62" s="15" t="n"/>
      <c r="BZ62" s="15" t="n"/>
      <c r="CA62" s="15" t="n"/>
      <c r="CB62" s="15" t="n"/>
      <c r="CC62" s="15" t="n"/>
      <c r="CD62" s="15" t="n"/>
      <c r="CE62" s="15" t="n"/>
      <c r="CF62" s="15" t="n"/>
      <c r="CG62" s="15" t="n"/>
      <c r="CH62" s="15" t="n"/>
      <c r="CI62" s="15" t="n"/>
      <c r="CJ62" s="15" t="n"/>
      <c r="CK62" s="15" t="n"/>
      <c r="CL62" s="15" t="n"/>
      <c r="CM62" s="15" t="n"/>
      <c r="CN62" s="15" t="n"/>
      <c r="CO62" s="15" t="n"/>
      <c r="CP62" s="15" t="n"/>
      <c r="CQ62" s="15" t="n"/>
      <c r="CR62" s="15" t="n"/>
      <c r="CS62" s="15" t="n"/>
      <c r="CT62" s="15" t="n"/>
      <c r="CU62" s="15" t="n"/>
      <c r="CV62" s="15" t="n"/>
      <c r="CW62" s="15" t="n"/>
      <c r="CX62" s="15" t="n"/>
      <c r="CY62" s="15" t="n"/>
      <c r="CZ62" s="15" t="n"/>
      <c r="DA62" s="15" t="n"/>
      <c r="DB62" s="15" t="n"/>
      <c r="DC62" s="15" t="n"/>
      <c r="DD62" s="15" t="n"/>
      <c r="DE62" s="15" t="n"/>
      <c r="DF62" s="15" t="n"/>
      <c r="DG62" s="15" t="n"/>
      <c r="DH62" s="15" t="n"/>
      <c r="DI62" s="15" t="n"/>
      <c r="DJ62" s="15" t="n"/>
      <c r="DK62" s="15" t="n"/>
      <c r="DL62" s="15" t="n"/>
    </row>
    <row r="63">
      <c r="A63" s="14" t="inlineStr">
        <is>
          <t>20(3)</t>
        </is>
      </c>
      <c r="B63" s="7" t="inlineStr">
        <is>
          <t>Conveyance of Flat / Apartment by BDA / KHB</t>
        </is>
      </c>
      <c r="C63" s="17" t="inlineStr">
        <is>
          <t>I</t>
        </is>
      </c>
      <c r="D63" s="15" t="n"/>
      <c r="E63" s="19" t="inlineStr">
        <is>
          <t>C</t>
        </is>
      </c>
      <c r="F63" s="15" t="n"/>
      <c r="G63" s="15" t="n"/>
      <c r="H63" s="18" t="inlineStr">
        <is>
          <t>E</t>
        </is>
      </c>
      <c r="I63" s="15" t="n"/>
      <c r="J63" s="15" t="n"/>
      <c r="K63" s="15" t="n"/>
      <c r="L63" s="15" t="n"/>
      <c r="M63" s="15" t="n"/>
      <c r="N63" s="15" t="n"/>
      <c r="O63" s="17" t="inlineStr">
        <is>
          <t>I</t>
        </is>
      </c>
      <c r="P63" s="15" t="n"/>
      <c r="Q63" s="15" t="n"/>
      <c r="R63" s="15" t="n"/>
      <c r="S63" s="15" t="n"/>
      <c r="T63" s="15" t="n"/>
      <c r="U63" s="15" t="n"/>
      <c r="V63" s="15" t="n"/>
      <c r="W63" s="15" t="n"/>
      <c r="X63" s="15" t="n"/>
      <c r="Y63" s="15" t="n"/>
      <c r="Z63" s="15" t="n"/>
      <c r="AA63" s="15" t="n"/>
      <c r="AB63" s="15" t="n"/>
      <c r="AC63" s="15" t="n"/>
      <c r="AD63" s="15" t="n"/>
      <c r="AE63" s="15" t="n"/>
      <c r="AF63" s="15" t="n"/>
      <c r="AG63" s="15" t="n"/>
      <c r="AH63" s="15" t="n"/>
      <c r="AI63" s="15" t="n"/>
      <c r="AJ63" s="15" t="n"/>
      <c r="AK63" s="15" t="n"/>
      <c r="AL63" s="15" t="n"/>
      <c r="AM63" s="15" t="n"/>
      <c r="AN63" s="15" t="n"/>
      <c r="AO63" s="15" t="n"/>
      <c r="AP63" s="15" t="n"/>
      <c r="AQ63" s="15" t="n"/>
      <c r="AR63" s="15" t="n"/>
      <c r="AS63" s="15" t="n"/>
      <c r="AT63" s="15" t="n"/>
      <c r="AU63" s="15" t="n"/>
      <c r="AV63" s="15" t="n"/>
      <c r="AW63" s="15" t="n"/>
      <c r="AX63" s="15" t="n"/>
      <c r="AY63" s="15" t="n"/>
      <c r="AZ63" s="15" t="n"/>
      <c r="BA63" s="15" t="n"/>
      <c r="BB63" s="15" t="n"/>
      <c r="BC63" s="15" t="n"/>
      <c r="BD63" s="15" t="n"/>
      <c r="BE63" s="15" t="n"/>
      <c r="BF63" s="15" t="n"/>
      <c r="BG63" s="15" t="n"/>
      <c r="BH63" s="15" t="n"/>
      <c r="BI63" s="15" t="n"/>
      <c r="BJ63" s="15" t="n"/>
      <c r="BK63" s="15" t="n"/>
      <c r="BL63" s="15" t="n"/>
      <c r="BM63" s="15" t="n"/>
      <c r="BN63" s="15" t="n"/>
      <c r="BO63" s="15" t="n"/>
      <c r="BP63" s="15" t="n"/>
      <c r="BQ63" s="15" t="n"/>
      <c r="BR63" s="15" t="n"/>
      <c r="BS63" s="15" t="n"/>
      <c r="BT63" s="15" t="n"/>
      <c r="BU63" s="15" t="n"/>
      <c r="BV63" s="15" t="n"/>
      <c r="BW63" s="15" t="n"/>
      <c r="BX63" s="15" t="n"/>
      <c r="BY63" s="15" t="n"/>
      <c r="BZ63" s="15" t="n"/>
      <c r="CA63" s="15" t="n"/>
      <c r="CB63" s="15" t="n"/>
      <c r="CC63" s="15" t="n"/>
      <c r="CD63" s="15" t="n"/>
      <c r="CE63" s="15" t="n"/>
      <c r="CF63" s="15" t="n"/>
      <c r="CG63" s="15" t="n"/>
      <c r="CH63" s="15" t="n"/>
      <c r="CI63" s="15" t="n"/>
      <c r="CJ63" s="15" t="n"/>
      <c r="CK63" s="15" t="n"/>
      <c r="CL63" s="15" t="n"/>
      <c r="CM63" s="15" t="n"/>
      <c r="CN63" s="15" t="n"/>
      <c r="CO63" s="15" t="n"/>
      <c r="CP63" s="15" t="n"/>
      <c r="CQ63" s="15" t="n"/>
      <c r="CR63" s="15" t="n"/>
      <c r="CS63" s="15" t="n"/>
      <c r="CT63" s="15" t="n"/>
      <c r="CU63" s="15" t="n"/>
      <c r="CV63" s="15" t="n"/>
      <c r="CW63" s="15" t="n"/>
      <c r="CX63" s="15" t="n"/>
      <c r="CY63" s="15" t="n"/>
      <c r="CZ63" s="15" t="n"/>
      <c r="DA63" s="15" t="n"/>
      <c r="DB63" s="15" t="n"/>
      <c r="DC63" s="15" t="n"/>
      <c r="DD63" s="15" t="n"/>
      <c r="DE63" s="15" t="n"/>
      <c r="DF63" s="15" t="n"/>
      <c r="DG63" s="15" t="n"/>
      <c r="DH63" s="15" t="n"/>
      <c r="DI63" s="15" t="n"/>
      <c r="DJ63" s="15" t="n"/>
      <c r="DK63" s="15" t="n"/>
      <c r="DL63" s="15" t="n"/>
    </row>
    <row r="64">
      <c r="A64" s="14" t="inlineStr">
        <is>
          <t>20(4)(i)</t>
        </is>
      </c>
      <c r="B64" s="7" t="inlineStr">
        <is>
          <t>Amalgamation of companies (court / NCLT order)</t>
        </is>
      </c>
      <c r="C64" s="15" t="n"/>
      <c r="D64" s="15" t="n"/>
      <c r="E64" s="15" t="n"/>
      <c r="F64" s="15" t="n"/>
      <c r="G64" s="15" t="n"/>
      <c r="H64" s="15" t="n"/>
      <c r="I64" s="15" t="n"/>
      <c r="J64" s="15" t="n"/>
      <c r="K64" s="15" t="n"/>
      <c r="L64" s="15" t="n"/>
      <c r="M64" s="15" t="n"/>
      <c r="N64" s="15" t="n"/>
      <c r="O64" s="15" t="n"/>
      <c r="P64" s="15" t="n"/>
      <c r="Q64" s="15" t="n"/>
      <c r="R64" s="15" t="n"/>
      <c r="S64" s="15" t="n"/>
      <c r="T64" s="15" t="n"/>
      <c r="U64" s="15" t="n"/>
      <c r="V64" s="15" t="n"/>
      <c r="W64" s="15" t="n"/>
      <c r="X64" s="15" t="n"/>
      <c r="Y64" s="15" t="n"/>
      <c r="Z64" s="15" t="n"/>
      <c r="AA64" s="15" t="n"/>
      <c r="AB64" s="15" t="n"/>
      <c r="AC64" s="15" t="n"/>
      <c r="AD64" s="15" t="n"/>
      <c r="AE64" s="15" t="n"/>
      <c r="AF64" s="15" t="n"/>
      <c r="AG64" s="15" t="n"/>
      <c r="AH64" s="15" t="n"/>
      <c r="AI64" s="15" t="n"/>
      <c r="AJ64" s="15" t="n"/>
      <c r="AK64" s="15" t="n"/>
      <c r="AL64" s="15" t="n"/>
      <c r="AM64" s="15" t="n"/>
      <c r="AN64" s="15" t="n"/>
      <c r="AO64" s="15" t="n"/>
      <c r="AP64" s="15" t="n"/>
      <c r="AQ64" s="15" t="n"/>
      <c r="AR64" s="15" t="n"/>
      <c r="AS64" s="15" t="n"/>
      <c r="AT64" s="15" t="n"/>
      <c r="AU64" s="15" t="n"/>
      <c r="AV64" s="15" t="n"/>
      <c r="AW64" s="15" t="n"/>
      <c r="AX64" s="15" t="n"/>
      <c r="AY64" s="15" t="n"/>
      <c r="AZ64" s="15" t="n"/>
      <c r="BA64" s="15" t="n"/>
      <c r="BB64" s="15" t="n"/>
      <c r="BC64" s="15" t="n"/>
      <c r="BD64" s="15" t="n"/>
      <c r="BE64" s="15" t="n"/>
      <c r="BF64" s="15" t="n"/>
      <c r="BG64" s="15" t="n"/>
      <c r="BH64" s="15" t="n"/>
      <c r="BI64" s="15" t="n"/>
      <c r="BJ64" s="15" t="n"/>
      <c r="BK64" s="15" t="n"/>
      <c r="BL64" s="15" t="n"/>
      <c r="BM64" s="15" t="n"/>
      <c r="BN64" s="15" t="n"/>
      <c r="BO64" s="15" t="n"/>
      <c r="BP64" s="15" t="n"/>
      <c r="BQ64" s="15" t="n"/>
      <c r="BR64" s="15" t="n"/>
      <c r="BS64" s="15" t="n"/>
      <c r="BT64" s="15" t="n"/>
      <c r="BU64" s="15" t="n"/>
      <c r="BV64" s="15" t="n"/>
      <c r="BW64" s="15" t="n"/>
      <c r="BX64" s="15" t="n"/>
      <c r="BY64" s="15" t="n"/>
      <c r="BZ64" s="17" t="inlineStr">
        <is>
          <t>I</t>
        </is>
      </c>
      <c r="CA64" s="19" t="inlineStr">
        <is>
          <t>C</t>
        </is>
      </c>
      <c r="CB64" s="19" t="inlineStr">
        <is>
          <t>C</t>
        </is>
      </c>
      <c r="CC64" s="19" t="inlineStr">
        <is>
          <t>C</t>
        </is>
      </c>
      <c r="CD64" s="18" t="inlineStr">
        <is>
          <t>E</t>
        </is>
      </c>
      <c r="CE64" s="15" t="n"/>
      <c r="CF64" s="15" t="n"/>
      <c r="CG64" s="15" t="n"/>
      <c r="CH64" s="15" t="n"/>
      <c r="CI64" s="15" t="n"/>
      <c r="CJ64" s="15" t="n"/>
      <c r="CK64" s="15" t="n"/>
      <c r="CL64" s="15" t="n"/>
      <c r="CM64" s="15" t="n"/>
      <c r="CN64" s="15" t="n"/>
      <c r="CO64" s="15" t="n"/>
      <c r="CP64" s="15" t="n"/>
      <c r="CQ64" s="15" t="n"/>
      <c r="CR64" s="15" t="n"/>
      <c r="CS64" s="15" t="n"/>
      <c r="CT64" s="15" t="n"/>
      <c r="CU64" s="15" t="n"/>
      <c r="CV64" s="15" t="n"/>
      <c r="CW64" s="15" t="n"/>
      <c r="CX64" s="15" t="n"/>
      <c r="CY64" s="15" t="n"/>
      <c r="CZ64" s="15" t="n"/>
      <c r="DA64" s="15" t="n"/>
      <c r="DB64" s="15" t="n"/>
      <c r="DC64" s="15" t="n"/>
      <c r="DD64" s="15" t="n"/>
      <c r="DE64" s="15" t="n"/>
      <c r="DF64" s="15" t="n"/>
      <c r="DG64" s="15" t="n"/>
      <c r="DH64" s="15" t="n"/>
      <c r="DI64" s="15" t="n"/>
      <c r="DJ64" s="15" t="n"/>
      <c r="DK64" s="15" t="n"/>
      <c r="DL64" s="15" t="n"/>
    </row>
    <row r="65">
      <c r="A65" s="14" t="inlineStr">
        <is>
          <t>20(4)(ii)</t>
        </is>
      </c>
      <c r="B65" s="7" t="inlineStr">
        <is>
          <t>Reconstruction / Demerger (court / NCLT order)</t>
        </is>
      </c>
      <c r="C65" s="15" t="n"/>
      <c r="D65" s="15" t="n"/>
      <c r="E65" s="15" t="n"/>
      <c r="F65" s="15" t="n"/>
      <c r="G65" s="15" t="n"/>
      <c r="H65" s="15" t="n"/>
      <c r="I65" s="15" t="n"/>
      <c r="J65" s="15" t="n"/>
      <c r="K65" s="15" t="n"/>
      <c r="L65" s="15" t="n"/>
      <c r="M65" s="15" t="n"/>
      <c r="N65" s="15" t="n"/>
      <c r="O65" s="15" t="n"/>
      <c r="P65" s="15" t="n"/>
      <c r="Q65" s="15" t="n"/>
      <c r="R65" s="15" t="n"/>
      <c r="S65" s="15" t="n"/>
      <c r="T65" s="15" t="n"/>
      <c r="U65" s="15" t="n"/>
      <c r="V65" s="15" t="n"/>
      <c r="W65" s="15" t="n"/>
      <c r="X65" s="15" t="n"/>
      <c r="Y65" s="15" t="n"/>
      <c r="Z65" s="15" t="n"/>
      <c r="AA65" s="15" t="n"/>
      <c r="AB65" s="15" t="n"/>
      <c r="AC65" s="15" t="n"/>
      <c r="AD65" s="15" t="n"/>
      <c r="AE65" s="15" t="n"/>
      <c r="AF65" s="15" t="n"/>
      <c r="AG65" s="15" t="n"/>
      <c r="AH65" s="15" t="n"/>
      <c r="AI65" s="15" t="n"/>
      <c r="AJ65" s="15" t="n"/>
      <c r="AK65" s="15" t="n"/>
      <c r="AL65" s="15" t="n"/>
      <c r="AM65" s="15" t="n"/>
      <c r="AN65" s="15" t="n"/>
      <c r="AO65" s="15" t="n"/>
      <c r="AP65" s="15" t="n"/>
      <c r="AQ65" s="15" t="n"/>
      <c r="AR65" s="15" t="n"/>
      <c r="AS65" s="15" t="n"/>
      <c r="AT65" s="15" t="n"/>
      <c r="AU65" s="15" t="n"/>
      <c r="AV65" s="15" t="n"/>
      <c r="AW65" s="15" t="n"/>
      <c r="AX65" s="15" t="n"/>
      <c r="AY65" s="15" t="n"/>
      <c r="AZ65" s="15" t="n"/>
      <c r="BA65" s="15" t="n"/>
      <c r="BB65" s="15" t="n"/>
      <c r="BC65" s="15" t="n"/>
      <c r="BD65" s="15" t="n"/>
      <c r="BE65" s="15" t="n"/>
      <c r="BF65" s="15" t="n"/>
      <c r="BG65" s="15" t="n"/>
      <c r="BH65" s="15" t="n"/>
      <c r="BI65" s="15" t="n"/>
      <c r="BJ65" s="15" t="n"/>
      <c r="BK65" s="15" t="n"/>
      <c r="BL65" s="15" t="n"/>
      <c r="BM65" s="15" t="n"/>
      <c r="BN65" s="15" t="n"/>
      <c r="BO65" s="15" t="n"/>
      <c r="BP65" s="15" t="n"/>
      <c r="BQ65" s="15" t="n"/>
      <c r="BR65" s="15" t="n"/>
      <c r="BS65" s="15" t="n"/>
      <c r="BT65" s="15" t="n"/>
      <c r="BU65" s="15" t="n"/>
      <c r="BV65" s="15" t="n"/>
      <c r="BW65" s="15" t="n"/>
      <c r="BX65" s="15" t="n"/>
      <c r="BY65" s="15" t="n"/>
      <c r="BZ65" s="17" t="inlineStr">
        <is>
          <t>I</t>
        </is>
      </c>
      <c r="CA65" s="19" t="inlineStr">
        <is>
          <t>C</t>
        </is>
      </c>
      <c r="CB65" s="19" t="inlineStr">
        <is>
          <t>C</t>
        </is>
      </c>
      <c r="CC65" s="19" t="inlineStr">
        <is>
          <t>C</t>
        </is>
      </c>
      <c r="CD65" s="15" t="n"/>
      <c r="CE65" s="15" t="n"/>
      <c r="CF65" s="15" t="n"/>
      <c r="CG65" s="15" t="n"/>
      <c r="CH65" s="15" t="n"/>
      <c r="CI65" s="15" t="n"/>
      <c r="CJ65" s="15" t="n"/>
      <c r="CK65" s="15" t="n"/>
      <c r="CL65" s="15" t="n"/>
      <c r="CM65" s="15" t="n"/>
      <c r="CN65" s="15" t="n"/>
      <c r="CO65" s="15" t="n"/>
      <c r="CP65" s="15" t="n"/>
      <c r="CQ65" s="15" t="n"/>
      <c r="CR65" s="15" t="n"/>
      <c r="CS65" s="15" t="n"/>
      <c r="CT65" s="15" t="n"/>
      <c r="CU65" s="15" t="n"/>
      <c r="CV65" s="15" t="n"/>
      <c r="CW65" s="15" t="n"/>
      <c r="CX65" s="15" t="n"/>
      <c r="CY65" s="15" t="n"/>
      <c r="CZ65" s="15" t="n"/>
      <c r="DA65" s="15" t="n"/>
      <c r="DB65" s="15" t="n"/>
      <c r="DC65" s="15" t="n"/>
      <c r="DD65" s="15" t="n"/>
      <c r="DE65" s="15" t="n"/>
      <c r="DF65" s="15" t="n"/>
      <c r="DG65" s="15" t="n"/>
      <c r="DH65" s="15" t="n"/>
      <c r="DI65" s="15" t="n"/>
      <c r="DJ65" s="15" t="n"/>
      <c r="DK65" s="15" t="n"/>
      <c r="DL65" s="15" t="n"/>
    </row>
    <row r="66">
      <c r="A66" s="14" t="inlineStr">
        <is>
          <t>20(5)(i)</t>
        </is>
      </c>
      <c r="B66" s="7" t="inlineStr">
        <is>
          <t>Conveyance of industrial machinery - movable</t>
        </is>
      </c>
      <c r="C66" s="15" t="n"/>
      <c r="D66" s="15" t="n"/>
      <c r="E66" s="19" t="inlineStr">
        <is>
          <t>C</t>
        </is>
      </c>
      <c r="F66" s="19" t="inlineStr">
        <is>
          <t>C</t>
        </is>
      </c>
      <c r="G66" s="15" t="n"/>
      <c r="H66" s="15" t="n"/>
      <c r="I66" s="15" t="n"/>
      <c r="J66" s="15" t="n"/>
      <c r="K66" s="15" t="n"/>
      <c r="L66" s="15" t="n"/>
      <c r="M66" s="15" t="n"/>
      <c r="N66" s="15" t="n"/>
      <c r="O66" s="15" t="n"/>
      <c r="P66" s="15" t="n"/>
      <c r="Q66" s="17" t="inlineStr">
        <is>
          <t>I</t>
        </is>
      </c>
      <c r="R66" s="15" t="n"/>
      <c r="S66" s="15" t="n"/>
      <c r="T66" s="15" t="n"/>
      <c r="U66" s="15" t="n"/>
      <c r="V66" s="15" t="n"/>
      <c r="W66" s="15" t="n"/>
      <c r="X66" s="15" t="n"/>
      <c r="Y66" s="15" t="n"/>
      <c r="Z66" s="15" t="n"/>
      <c r="AA66" s="15" t="n"/>
      <c r="AB66" s="15" t="n"/>
      <c r="AC66" s="15" t="n"/>
      <c r="AD66" s="15" t="n"/>
      <c r="AE66" s="15" t="n"/>
      <c r="AF66" s="15" t="n"/>
      <c r="AG66" s="15" t="n"/>
      <c r="AH66" s="15" t="n"/>
      <c r="AI66" s="15" t="n"/>
      <c r="AJ66" s="15" t="n"/>
      <c r="AK66" s="15" t="n"/>
      <c r="AL66" s="15" t="n"/>
      <c r="AM66" s="15" t="n"/>
      <c r="AN66" s="15" t="n"/>
      <c r="AO66" s="15" t="n"/>
      <c r="AP66" s="15" t="n"/>
      <c r="AQ66" s="15" t="n"/>
      <c r="AR66" s="15" t="n"/>
      <c r="AS66" s="15" t="n"/>
      <c r="AT66" s="15" t="n"/>
      <c r="AU66" s="15" t="n"/>
      <c r="AV66" s="15" t="n"/>
      <c r="AW66" s="15" t="n"/>
      <c r="AX66" s="15" t="n"/>
      <c r="AY66" s="15" t="n"/>
      <c r="AZ66" s="15" t="n"/>
      <c r="BA66" s="15" t="n"/>
      <c r="BB66" s="15" t="n"/>
      <c r="BC66" s="15" t="n"/>
      <c r="BD66" s="15" t="n"/>
      <c r="BE66" s="15" t="n"/>
      <c r="BF66" s="15" t="n"/>
      <c r="BG66" s="15" t="n"/>
      <c r="BH66" s="15" t="n"/>
      <c r="BI66" s="15" t="n"/>
      <c r="BJ66" s="15" t="n"/>
      <c r="BK66" s="15" t="n"/>
      <c r="BL66" s="15" t="n"/>
      <c r="BM66" s="15" t="n"/>
      <c r="BN66" s="15" t="n"/>
      <c r="BO66" s="15" t="n"/>
      <c r="BP66" s="15" t="n"/>
      <c r="BQ66" s="15" t="n"/>
      <c r="BR66" s="15" t="n"/>
      <c r="BS66" s="15" t="n"/>
      <c r="BT66" s="15" t="n"/>
      <c r="BU66" s="15" t="n"/>
      <c r="BV66" s="15" t="n"/>
      <c r="BW66" s="15" t="n"/>
      <c r="BX66" s="15" t="n"/>
      <c r="BY66" s="15" t="n"/>
      <c r="BZ66" s="15" t="n"/>
      <c r="CA66" s="15" t="n"/>
      <c r="CB66" s="15" t="n"/>
      <c r="CC66" s="15" t="n"/>
      <c r="CD66" s="15" t="n"/>
      <c r="CE66" s="15" t="n"/>
      <c r="CF66" s="15" t="n"/>
      <c r="CG66" s="15" t="n"/>
      <c r="CH66" s="15" t="n"/>
      <c r="CI66" s="15" t="n"/>
      <c r="CJ66" s="15" t="n"/>
      <c r="CK66" s="15" t="n"/>
      <c r="CL66" s="15" t="n"/>
      <c r="CM66" s="15" t="n"/>
      <c r="CN66" s="15" t="n"/>
      <c r="CO66" s="15" t="n"/>
      <c r="CP66" s="15" t="n"/>
      <c r="CQ66" s="15" t="n"/>
      <c r="CR66" s="15" t="n"/>
      <c r="CS66" s="15" t="n"/>
      <c r="CT66" s="15" t="n"/>
      <c r="CU66" s="15" t="n"/>
      <c r="CV66" s="15" t="n"/>
      <c r="CW66" s="15" t="n"/>
      <c r="CX66" s="15" t="n"/>
      <c r="CY66" s="15" t="n"/>
      <c r="CZ66" s="15" t="n"/>
      <c r="DA66" s="15" t="n"/>
      <c r="DB66" s="15" t="n"/>
      <c r="DC66" s="15" t="n"/>
      <c r="DD66" s="15" t="n"/>
      <c r="DE66" s="15" t="n"/>
      <c r="DF66" s="15" t="n"/>
      <c r="DG66" s="15" t="n"/>
      <c r="DH66" s="15" t="n"/>
      <c r="DI66" s="15" t="n"/>
      <c r="DJ66" s="15" t="n"/>
      <c r="DK66" s="15" t="n"/>
      <c r="DL66" s="15" t="n"/>
    </row>
    <row r="67">
      <c r="A67" s="14" t="inlineStr">
        <is>
          <t>20(5)(ii)</t>
        </is>
      </c>
      <c r="B67" s="7" t="inlineStr">
        <is>
          <t>Conveyance of industrial machinery - immovable</t>
        </is>
      </c>
      <c r="C67" s="15" t="n"/>
      <c r="D67" s="15" t="n"/>
      <c r="E67" s="19" t="inlineStr">
        <is>
          <t>C</t>
        </is>
      </c>
      <c r="F67" s="19" t="inlineStr">
        <is>
          <t>C</t>
        </is>
      </c>
      <c r="G67" s="15" t="n"/>
      <c r="H67" s="15" t="n"/>
      <c r="I67" s="15" t="n"/>
      <c r="J67" s="15" t="n"/>
      <c r="K67" s="15" t="n"/>
      <c r="L67" s="15" t="n"/>
      <c r="M67" s="15" t="n"/>
      <c r="N67" s="15" t="n"/>
      <c r="O67" s="15" t="n"/>
      <c r="P67" s="15" t="n"/>
      <c r="Q67" s="17" t="inlineStr">
        <is>
          <t>I</t>
        </is>
      </c>
      <c r="R67" s="15" t="n"/>
      <c r="S67" s="15" t="n"/>
      <c r="T67" s="15" t="n"/>
      <c r="U67" s="15" t="n"/>
      <c r="V67" s="15" t="n"/>
      <c r="W67" s="15" t="n"/>
      <c r="X67" s="15" t="n"/>
      <c r="Y67" s="15" t="n"/>
      <c r="Z67" s="15" t="n"/>
      <c r="AA67" s="15" t="n"/>
      <c r="AB67" s="15" t="n"/>
      <c r="AC67" s="15" t="n"/>
      <c r="AD67" s="15" t="n"/>
      <c r="AE67" s="15" t="n"/>
      <c r="AF67" s="15" t="n"/>
      <c r="AG67" s="15" t="n"/>
      <c r="AH67" s="15" t="n"/>
      <c r="AI67" s="15" t="n"/>
      <c r="AJ67" s="15" t="n"/>
      <c r="AK67" s="15" t="n"/>
      <c r="AL67" s="15" t="n"/>
      <c r="AM67" s="15" t="n"/>
      <c r="AN67" s="15" t="n"/>
      <c r="AO67" s="15" t="n"/>
      <c r="AP67" s="15" t="n"/>
      <c r="AQ67" s="15" t="n"/>
      <c r="AR67" s="15" t="n"/>
      <c r="AS67" s="15" t="n"/>
      <c r="AT67" s="15" t="n"/>
      <c r="AU67" s="15" t="n"/>
      <c r="AV67" s="15" t="n"/>
      <c r="AW67" s="15" t="n"/>
      <c r="AX67" s="15" t="n"/>
      <c r="AY67" s="15" t="n"/>
      <c r="AZ67" s="15" t="n"/>
      <c r="BA67" s="15" t="n"/>
      <c r="BB67" s="15" t="n"/>
      <c r="BC67" s="15" t="n"/>
      <c r="BD67" s="15" t="n"/>
      <c r="BE67" s="15" t="n"/>
      <c r="BF67" s="15" t="n"/>
      <c r="BG67" s="15" t="n"/>
      <c r="BH67" s="15" t="n"/>
      <c r="BI67" s="15" t="n"/>
      <c r="BJ67" s="15" t="n"/>
      <c r="BK67" s="15" t="n"/>
      <c r="BL67" s="15" t="n"/>
      <c r="BM67" s="15" t="n"/>
      <c r="BN67" s="15" t="n"/>
      <c r="BO67" s="15" t="n"/>
      <c r="BP67" s="15" t="n"/>
      <c r="BQ67" s="15" t="n"/>
      <c r="BR67" s="15" t="n"/>
      <c r="BS67" s="15" t="n"/>
      <c r="BT67" s="15" t="n"/>
      <c r="BU67" s="15" t="n"/>
      <c r="BV67" s="15" t="n"/>
      <c r="BW67" s="15" t="n"/>
      <c r="BX67" s="15" t="n"/>
      <c r="BY67" s="15" t="n"/>
      <c r="BZ67" s="15" t="n"/>
      <c r="CA67" s="15" t="n"/>
      <c r="CB67" s="15" t="n"/>
      <c r="CC67" s="15" t="n"/>
      <c r="CD67" s="15" t="n"/>
      <c r="CE67" s="15" t="n"/>
      <c r="CF67" s="15" t="n"/>
      <c r="CG67" s="15" t="n"/>
      <c r="CH67" s="15" t="n"/>
      <c r="CI67" s="15" t="n"/>
      <c r="CJ67" s="15" t="n"/>
      <c r="CK67" s="15" t="n"/>
      <c r="CL67" s="15" t="n"/>
      <c r="CM67" s="15" t="n"/>
      <c r="CN67" s="15" t="n"/>
      <c r="CO67" s="15" t="n"/>
      <c r="CP67" s="15" t="n"/>
      <c r="CQ67" s="15" t="n"/>
      <c r="CR67" s="15" t="n"/>
      <c r="CS67" s="15" t="n"/>
      <c r="CT67" s="15" t="n"/>
      <c r="CU67" s="15" t="n"/>
      <c r="CV67" s="15" t="n"/>
      <c r="CW67" s="15" t="n"/>
      <c r="CX67" s="15" t="n"/>
      <c r="CY67" s="15" t="n"/>
      <c r="CZ67" s="15" t="n"/>
      <c r="DA67" s="15" t="n"/>
      <c r="DB67" s="15" t="n"/>
      <c r="DC67" s="15" t="n"/>
      <c r="DD67" s="15" t="n"/>
      <c r="DE67" s="15" t="n"/>
      <c r="DF67" s="15" t="n"/>
      <c r="DG67" s="15" t="n"/>
      <c r="DH67" s="15" t="n"/>
      <c r="DI67" s="15" t="n"/>
      <c r="DJ67" s="15" t="n"/>
      <c r="DK67" s="15" t="n"/>
      <c r="DL67" s="15" t="n"/>
    </row>
    <row r="68">
      <c r="A68" s="14" t="inlineStr">
        <is>
          <t>20(6)</t>
        </is>
      </c>
      <c r="B68" s="7" t="inlineStr">
        <is>
          <t>Assignment of receivables to SPV (securitisation)</t>
        </is>
      </c>
      <c r="C68" s="15" t="n"/>
      <c r="D68" s="15" t="n"/>
      <c r="E68" s="15" t="n"/>
      <c r="F68" s="15" t="n"/>
      <c r="G68" s="15" t="n"/>
      <c r="H68" s="15" t="n"/>
      <c r="I68" s="15" t="n"/>
      <c r="J68" s="17" t="inlineStr">
        <is>
          <t>I</t>
        </is>
      </c>
      <c r="K68" s="15" t="n"/>
      <c r="L68" s="15" t="n"/>
      <c r="M68" s="15" t="n"/>
      <c r="N68" s="15" t="n"/>
      <c r="O68" s="15" t="n"/>
      <c r="P68" s="15" t="n"/>
      <c r="Q68" s="15" t="n"/>
      <c r="R68" s="15" t="n"/>
      <c r="S68" s="15" t="n"/>
      <c r="T68" s="15" t="n"/>
      <c r="U68" s="15" t="n"/>
      <c r="V68" s="15" t="n"/>
      <c r="W68" s="15" t="n"/>
      <c r="X68" s="15" t="n"/>
      <c r="Y68" s="15" t="n"/>
      <c r="Z68" s="15" t="n"/>
      <c r="AA68" s="15" t="n"/>
      <c r="AB68" s="15" t="n"/>
      <c r="AC68" s="15" t="n"/>
      <c r="AD68" s="15" t="n"/>
      <c r="AE68" s="15" t="n"/>
      <c r="AF68" s="15" t="n"/>
      <c r="AG68" s="15" t="n"/>
      <c r="AH68" s="15" t="n"/>
      <c r="AI68" s="15" t="n"/>
      <c r="AJ68" s="15" t="n"/>
      <c r="AK68" s="15" t="n"/>
      <c r="AL68" s="15" t="n"/>
      <c r="AM68" s="15" t="n"/>
      <c r="AN68" s="15" t="n"/>
      <c r="AO68" s="15" t="n"/>
      <c r="AP68" s="15" t="n"/>
      <c r="AQ68" s="15" t="n"/>
      <c r="AR68" s="15" t="n"/>
      <c r="AS68" s="15" t="n"/>
      <c r="AT68" s="15" t="n"/>
      <c r="AU68" s="15" t="n"/>
      <c r="AV68" s="15" t="n"/>
      <c r="AW68" s="15" t="n"/>
      <c r="AX68" s="15" t="n"/>
      <c r="AY68" s="15" t="n"/>
      <c r="AZ68" s="15" t="n"/>
      <c r="BA68" s="15" t="n"/>
      <c r="BB68" s="15" t="n"/>
      <c r="BC68" s="15" t="n"/>
      <c r="BD68" s="15" t="n"/>
      <c r="BE68" s="15" t="n"/>
      <c r="BF68" s="15" t="n"/>
      <c r="BG68" s="15" t="n"/>
      <c r="BH68" s="15" t="n"/>
      <c r="BI68" s="15" t="n"/>
      <c r="BJ68" s="15" t="n"/>
      <c r="BK68" s="15" t="n"/>
      <c r="BL68" s="15" t="n"/>
      <c r="BM68" s="15" t="n"/>
      <c r="BN68" s="15" t="n"/>
      <c r="BO68" s="15" t="n"/>
      <c r="BP68" s="15" t="n"/>
      <c r="BQ68" s="15" t="n"/>
      <c r="BR68" s="15" t="n"/>
      <c r="BS68" s="15" t="n"/>
      <c r="BT68" s="15" t="n"/>
      <c r="BU68" s="15" t="n"/>
      <c r="BV68" s="15" t="n"/>
      <c r="BW68" s="15" t="n"/>
      <c r="BX68" s="15" t="n"/>
      <c r="BY68" s="15" t="n"/>
      <c r="BZ68" s="15" t="n"/>
      <c r="CA68" s="15" t="n"/>
      <c r="CB68" s="15" t="n"/>
      <c r="CC68" s="15" t="n"/>
      <c r="CD68" s="15" t="n"/>
      <c r="CE68" s="15" t="n"/>
      <c r="CF68" s="19" t="inlineStr">
        <is>
          <t>C</t>
        </is>
      </c>
      <c r="CG68" s="15" t="n"/>
      <c r="CH68" s="15" t="n"/>
      <c r="CI68" s="15" t="n"/>
      <c r="CJ68" s="15" t="n"/>
      <c r="CK68" s="15" t="n"/>
      <c r="CL68" s="15" t="n"/>
      <c r="CM68" s="15" t="n"/>
      <c r="CN68" s="15" t="n"/>
      <c r="CO68" s="15" t="n"/>
      <c r="CP68" s="15" t="n"/>
      <c r="CQ68" s="15" t="n"/>
      <c r="CR68" s="15" t="n"/>
      <c r="CS68" s="15" t="n"/>
      <c r="CT68" s="15" t="n"/>
      <c r="CU68" s="15" t="n"/>
      <c r="CV68" s="15" t="n"/>
      <c r="CW68" s="15" t="n"/>
      <c r="CX68" s="15" t="n"/>
      <c r="CY68" s="15" t="n"/>
      <c r="CZ68" s="15" t="n"/>
      <c r="DA68" s="15" t="n"/>
      <c r="DB68" s="15" t="n"/>
      <c r="DC68" s="15" t="n"/>
      <c r="DD68" s="15" t="n"/>
      <c r="DE68" s="15" t="n"/>
      <c r="DF68" s="15" t="n"/>
      <c r="DG68" s="15" t="n"/>
      <c r="DH68" s="15" t="n"/>
      <c r="DI68" s="15" t="n"/>
      <c r="DJ68" s="15" t="n"/>
      <c r="DK68" s="15" t="n"/>
      <c r="DL68" s="15" t="n"/>
    </row>
    <row r="69">
      <c r="A69" s="14" t="inlineStr">
        <is>
          <t>20(7)</t>
        </is>
      </c>
      <c r="B69" s="7" t="inlineStr">
        <is>
          <t>Conveyance of Transferable Development Rights</t>
        </is>
      </c>
      <c r="C69" s="15" t="n"/>
      <c r="D69" s="15" t="n"/>
      <c r="E69" s="19" t="inlineStr">
        <is>
          <t>C</t>
        </is>
      </c>
      <c r="F69" s="19" t="inlineStr">
        <is>
          <t>C</t>
        </is>
      </c>
      <c r="G69" s="15" t="n"/>
      <c r="H69" s="15" t="n"/>
      <c r="I69" s="15" t="n"/>
      <c r="J69" s="17" t="inlineStr">
        <is>
          <t>I</t>
        </is>
      </c>
      <c r="K69" s="15" t="n"/>
      <c r="L69" s="15" t="n"/>
      <c r="M69" s="15" t="n"/>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c r="AH69" s="15" t="n"/>
      <c r="AI69" s="15" t="n"/>
      <c r="AJ69" s="15" t="n"/>
      <c r="AK69" s="15" t="n"/>
      <c r="AL69" s="15" t="n"/>
      <c r="AM69" s="15" t="n"/>
      <c r="AN69" s="15" t="n"/>
      <c r="AO69" s="15" t="n"/>
      <c r="AP69" s="15" t="n"/>
      <c r="AQ69" s="15" t="n"/>
      <c r="AR69" s="15" t="n"/>
      <c r="AS69" s="15" t="n"/>
      <c r="AT69" s="15" t="n"/>
      <c r="AU69" s="15" t="n"/>
      <c r="AV69" s="15" t="n"/>
      <c r="AW69" s="15" t="n"/>
      <c r="AX69" s="15" t="n"/>
      <c r="AY69" s="15" t="n"/>
      <c r="AZ69" s="15" t="n"/>
      <c r="BA69" s="15" t="n"/>
      <c r="BB69" s="15" t="n"/>
      <c r="BC69" s="15" t="n"/>
      <c r="BD69" s="15" t="n"/>
      <c r="BE69" s="15" t="n"/>
      <c r="BF69" s="15" t="n"/>
      <c r="BG69" s="15" t="n"/>
      <c r="BH69" s="15" t="n"/>
      <c r="BI69" s="15" t="n"/>
      <c r="BJ69" s="15" t="n"/>
      <c r="BK69" s="15" t="n"/>
      <c r="BL69" s="15" t="n"/>
      <c r="BM69" s="18" t="inlineStr">
        <is>
          <t>E</t>
        </is>
      </c>
      <c r="BN69" s="15" t="n"/>
      <c r="BO69" s="15" t="n"/>
      <c r="BP69" s="15" t="n"/>
      <c r="BQ69" s="15" t="n"/>
      <c r="BR69" s="15" t="n"/>
      <c r="BS69" s="15" t="n"/>
      <c r="BT69" s="15" t="n"/>
      <c r="BU69" s="15" t="n"/>
      <c r="BV69" s="15" t="n"/>
      <c r="BW69" s="15" t="n"/>
      <c r="BX69" s="15" t="n"/>
      <c r="BY69" s="15" t="n"/>
      <c r="BZ69" s="15" t="n"/>
      <c r="CA69" s="15" t="n"/>
      <c r="CB69" s="15" t="n"/>
      <c r="CC69" s="15" t="n"/>
      <c r="CD69" s="15" t="n"/>
      <c r="CE69" s="15" t="n"/>
      <c r="CF69" s="15" t="n"/>
      <c r="CG69" s="15" t="n"/>
      <c r="CH69" s="15" t="n"/>
      <c r="CI69" s="15" t="n"/>
      <c r="CJ69" s="15" t="n"/>
      <c r="CK69" s="15" t="n"/>
      <c r="CL69" s="15" t="n"/>
      <c r="CM69" s="15" t="n"/>
      <c r="CN69" s="15" t="n"/>
      <c r="CO69" s="15" t="n"/>
      <c r="CP69" s="15" t="n"/>
      <c r="CQ69" s="15" t="n"/>
      <c r="CR69" s="15" t="n"/>
      <c r="CS69" s="15" t="n"/>
      <c r="CT69" s="15" t="n"/>
      <c r="CU69" s="15" t="n"/>
      <c r="CV69" s="15" t="n"/>
      <c r="CW69" s="15" t="n"/>
      <c r="CX69" s="15" t="n"/>
      <c r="CY69" s="15" t="n"/>
      <c r="CZ69" s="15" t="n"/>
      <c r="DA69" s="15" t="n"/>
      <c r="DB69" s="15" t="n"/>
      <c r="DC69" s="15" t="n"/>
      <c r="DD69" s="15" t="n"/>
      <c r="DE69" s="15" t="n"/>
      <c r="DF69" s="15" t="n"/>
      <c r="DG69" s="15" t="n"/>
      <c r="DH69" s="15" t="n"/>
      <c r="DI69" s="15" t="n"/>
      <c r="DJ69" s="15" t="n"/>
      <c r="DK69" s="15" t="n"/>
      <c r="DL69" s="15" t="n"/>
    </row>
    <row r="70">
      <c r="A70" s="14" t="inlineStr">
        <is>
          <t>21(i)</t>
        </is>
      </c>
      <c r="B70" s="7" t="inlineStr">
        <is>
          <t>Certified copy - original not chargeable</t>
        </is>
      </c>
      <c r="C70" s="15" t="n"/>
      <c r="D70" s="15" t="n"/>
      <c r="E70" s="15" t="n"/>
      <c r="F70" s="15" t="n"/>
      <c r="G70" s="15" t="n"/>
      <c r="H70" s="15" t="n"/>
      <c r="I70" s="15" t="n"/>
      <c r="J70" s="15" t="n"/>
      <c r="K70" s="15" t="n"/>
      <c r="L70" s="15" t="n"/>
      <c r="M70" s="15" t="n"/>
      <c r="N70" s="15" t="n"/>
      <c r="O70" s="15" t="n"/>
      <c r="P70" s="15" t="n"/>
      <c r="Q70" s="15" t="n"/>
      <c r="R70" s="15" t="n"/>
      <c r="S70" s="15" t="n"/>
      <c r="T70" s="15" t="n"/>
      <c r="U70" s="15" t="n"/>
      <c r="V70" s="15" t="n"/>
      <c r="W70" s="15" t="n"/>
      <c r="X70" s="15" t="n"/>
      <c r="Y70" s="15" t="n"/>
      <c r="Z70" s="15" t="n"/>
      <c r="AA70" s="15" t="n"/>
      <c r="AB70" s="15" t="n"/>
      <c r="AC70" s="15" t="n"/>
      <c r="AD70" s="15" t="n"/>
      <c r="AE70" s="15" t="n"/>
      <c r="AF70" s="15" t="n"/>
      <c r="AG70" s="15" t="n"/>
      <c r="AH70" s="15" t="n"/>
      <c r="AI70" s="15" t="n"/>
      <c r="AJ70" s="15" t="n"/>
      <c r="AK70" s="15" t="n"/>
      <c r="AL70" s="15" t="n"/>
      <c r="AM70" s="15" t="n"/>
      <c r="AN70" s="15" t="n"/>
      <c r="AO70" s="15" t="n"/>
      <c r="AP70" s="15" t="n"/>
      <c r="AQ70" s="15" t="n"/>
      <c r="AR70" s="15" t="n"/>
      <c r="AS70" s="15" t="n"/>
      <c r="AT70" s="15" t="n"/>
      <c r="AU70" s="15" t="n"/>
      <c r="AV70" s="15" t="n"/>
      <c r="AW70" s="15" t="n"/>
      <c r="AX70" s="15" t="n"/>
      <c r="AY70" s="15" t="n"/>
      <c r="AZ70" s="15" t="n"/>
      <c r="BA70" s="15" t="n"/>
      <c r="BB70" s="15" t="n"/>
      <c r="BC70" s="15" t="n"/>
      <c r="BD70" s="15" t="n"/>
      <c r="BE70" s="15" t="n"/>
      <c r="BF70" s="15" t="n"/>
      <c r="BG70" s="15" t="n"/>
      <c r="BH70" s="15" t="n"/>
      <c r="BI70" s="15" t="n"/>
      <c r="BJ70" s="15" t="n"/>
      <c r="BK70" s="15" t="n"/>
      <c r="BL70" s="15" t="n"/>
      <c r="BM70" s="15" t="n"/>
      <c r="BN70" s="15" t="n"/>
      <c r="BO70" s="15" t="n"/>
      <c r="BP70" s="15" t="n"/>
      <c r="BQ70" s="15" t="n"/>
      <c r="BR70" s="15" t="n"/>
      <c r="BS70" s="15" t="n"/>
      <c r="BT70" s="15" t="n"/>
      <c r="BU70" s="15" t="n"/>
      <c r="BV70" s="15" t="n"/>
      <c r="BW70" s="15" t="n"/>
      <c r="BX70" s="15" t="n"/>
      <c r="BY70" s="15" t="n"/>
      <c r="BZ70" s="15" t="n"/>
      <c r="CA70" s="15" t="n"/>
      <c r="CB70" s="15" t="n"/>
      <c r="CC70" s="15" t="n"/>
      <c r="CD70" s="15" t="n"/>
      <c r="CE70" s="15" t="n"/>
      <c r="CF70" s="15" t="n"/>
      <c r="CG70" s="15" t="n"/>
      <c r="CH70" s="15" t="n"/>
      <c r="CI70" s="15" t="n"/>
      <c r="CJ70" s="15" t="n"/>
      <c r="CK70" s="15" t="n"/>
      <c r="CL70" s="15" t="n"/>
      <c r="CM70" s="15" t="n"/>
      <c r="CN70" s="15" t="n"/>
      <c r="CO70" s="15" t="n"/>
      <c r="CP70" s="15" t="n"/>
      <c r="CQ70" s="15" t="n"/>
      <c r="CR70" s="15" t="n"/>
      <c r="CS70" s="15" t="n"/>
      <c r="CT70" s="15" t="n"/>
      <c r="CU70" s="15" t="n"/>
      <c r="CV70" s="15" t="n"/>
      <c r="CW70" s="15" t="n"/>
      <c r="CX70" s="15" t="n"/>
      <c r="CY70" s="15" t="n"/>
      <c r="CZ70" s="15" t="n"/>
      <c r="DA70" s="15" t="n"/>
      <c r="DB70" s="15" t="n"/>
      <c r="DC70" s="15" t="n"/>
      <c r="DD70" s="15" t="n"/>
      <c r="DE70" s="15" t="n"/>
      <c r="DF70" s="17" t="inlineStr">
        <is>
          <t>I</t>
        </is>
      </c>
      <c r="DG70" s="15" t="n"/>
      <c r="DH70" s="15" t="n"/>
      <c r="DI70" s="15" t="n"/>
      <c r="DJ70" s="15" t="n"/>
      <c r="DK70" s="15" t="n"/>
      <c r="DL70" s="15" t="n"/>
    </row>
    <row r="71">
      <c r="A71" s="14" t="inlineStr">
        <is>
          <t>21(ii)</t>
        </is>
      </c>
      <c r="B71" s="7" t="inlineStr">
        <is>
          <t>Certified copy - other</t>
        </is>
      </c>
      <c r="C71" s="15" t="n"/>
      <c r="D71" s="15" t="n"/>
      <c r="E71" s="15" t="n"/>
      <c r="F71" s="15" t="n"/>
      <c r="G71" s="15" t="n"/>
      <c r="H71" s="15" t="n"/>
      <c r="I71" s="15" t="n"/>
      <c r="J71" s="15" t="n"/>
      <c r="K71" s="15" t="n"/>
      <c r="L71" s="15" t="n"/>
      <c r="M71" s="15" t="n"/>
      <c r="N71" s="15" t="n"/>
      <c r="O71" s="15" t="n"/>
      <c r="P71" s="15" t="n"/>
      <c r="Q71" s="15" t="n"/>
      <c r="R71" s="15" t="n"/>
      <c r="S71" s="15" t="n"/>
      <c r="T71" s="15" t="n"/>
      <c r="U71" s="15" t="n"/>
      <c r="V71" s="15" t="n"/>
      <c r="W71" s="15" t="n"/>
      <c r="X71" s="15" t="n"/>
      <c r="Y71" s="15" t="n"/>
      <c r="Z71" s="15" t="n"/>
      <c r="AA71" s="15" t="n"/>
      <c r="AB71" s="15" t="n"/>
      <c r="AC71" s="15" t="n"/>
      <c r="AD71" s="15" t="n"/>
      <c r="AE71" s="15" t="n"/>
      <c r="AF71" s="15" t="n"/>
      <c r="AG71" s="15" t="n"/>
      <c r="AH71" s="15" t="n"/>
      <c r="AI71" s="15" t="n"/>
      <c r="AJ71" s="15" t="n"/>
      <c r="AK71" s="15" t="n"/>
      <c r="AL71" s="15" t="n"/>
      <c r="AM71" s="15" t="n"/>
      <c r="AN71" s="15" t="n"/>
      <c r="AO71" s="15" t="n"/>
      <c r="AP71" s="15" t="n"/>
      <c r="AQ71" s="15" t="n"/>
      <c r="AR71" s="15" t="n"/>
      <c r="AS71" s="15" t="n"/>
      <c r="AT71" s="15" t="n"/>
      <c r="AU71" s="15" t="n"/>
      <c r="AV71" s="15" t="n"/>
      <c r="AW71" s="15" t="n"/>
      <c r="AX71" s="15" t="n"/>
      <c r="AY71" s="15" t="n"/>
      <c r="AZ71" s="15" t="n"/>
      <c r="BA71" s="15" t="n"/>
      <c r="BB71" s="15" t="n"/>
      <c r="BC71" s="15" t="n"/>
      <c r="BD71" s="15" t="n"/>
      <c r="BE71" s="15" t="n"/>
      <c r="BF71" s="15" t="n"/>
      <c r="BG71" s="15" t="n"/>
      <c r="BH71" s="15" t="n"/>
      <c r="BI71" s="15" t="n"/>
      <c r="BJ71" s="15" t="n"/>
      <c r="BK71" s="15" t="n"/>
      <c r="BL71" s="15" t="n"/>
      <c r="BM71" s="15" t="n"/>
      <c r="BN71" s="15" t="n"/>
      <c r="BO71" s="15" t="n"/>
      <c r="BP71" s="15" t="n"/>
      <c r="BQ71" s="15" t="n"/>
      <c r="BR71" s="15" t="n"/>
      <c r="BS71" s="15" t="n"/>
      <c r="BT71" s="15" t="n"/>
      <c r="BU71" s="15" t="n"/>
      <c r="BV71" s="15" t="n"/>
      <c r="BW71" s="15" t="n"/>
      <c r="BX71" s="15" t="n"/>
      <c r="BY71" s="15" t="n"/>
      <c r="BZ71" s="15" t="n"/>
      <c r="CA71" s="15" t="n"/>
      <c r="CB71" s="15" t="n"/>
      <c r="CC71" s="15" t="n"/>
      <c r="CD71" s="15" t="n"/>
      <c r="CE71" s="15" t="n"/>
      <c r="CF71" s="15" t="n"/>
      <c r="CG71" s="15" t="n"/>
      <c r="CH71" s="15" t="n"/>
      <c r="CI71" s="15" t="n"/>
      <c r="CJ71" s="15" t="n"/>
      <c r="CK71" s="15" t="n"/>
      <c r="CL71" s="15" t="n"/>
      <c r="CM71" s="15" t="n"/>
      <c r="CN71" s="15" t="n"/>
      <c r="CO71" s="15" t="n"/>
      <c r="CP71" s="15" t="n"/>
      <c r="CQ71" s="15" t="n"/>
      <c r="CR71" s="15" t="n"/>
      <c r="CS71" s="15" t="n"/>
      <c r="CT71" s="15" t="n"/>
      <c r="CU71" s="15" t="n"/>
      <c r="CV71" s="15" t="n"/>
      <c r="CW71" s="15" t="n"/>
      <c r="CX71" s="15" t="n"/>
      <c r="CY71" s="15" t="n"/>
      <c r="CZ71" s="15" t="n"/>
      <c r="DA71" s="15" t="n"/>
      <c r="DB71" s="15" t="n"/>
      <c r="DC71" s="15" t="n"/>
      <c r="DD71" s="15" t="n"/>
      <c r="DE71" s="15" t="n"/>
      <c r="DF71" s="17" t="inlineStr">
        <is>
          <t>I</t>
        </is>
      </c>
      <c r="DG71" s="15" t="n"/>
      <c r="DH71" s="15" t="n"/>
      <c r="DI71" s="15" t="n"/>
      <c r="DJ71" s="15" t="n"/>
      <c r="DK71" s="15" t="n"/>
      <c r="DL71" s="15" t="n"/>
    </row>
    <row r="72">
      <c r="A72" s="14" t="inlineStr">
        <is>
          <t>22(a)</t>
        </is>
      </c>
      <c r="B72" s="7" t="inlineStr">
        <is>
          <t>Counterpart / duplicate - original duty &lt;= Rs.500</t>
        </is>
      </c>
      <c r="C72" s="15" t="n"/>
      <c r="D72" s="15" t="n"/>
      <c r="E72" s="15" t="n"/>
      <c r="F72" s="15" t="n"/>
      <c r="G72" s="15" t="n"/>
      <c r="H72" s="15" t="n"/>
      <c r="I72" s="15" t="n"/>
      <c r="J72" s="15" t="n"/>
      <c r="K72" s="15" t="n"/>
      <c r="L72" s="15" t="n"/>
      <c r="M72" s="15" t="n"/>
      <c r="N72" s="15" t="n"/>
      <c r="O72" s="15" t="n"/>
      <c r="P72" s="15" t="n"/>
      <c r="Q72" s="15" t="n"/>
      <c r="R72" s="15" t="n"/>
      <c r="S72" s="15" t="n"/>
      <c r="T72" s="15" t="n"/>
      <c r="U72" s="15" t="n"/>
      <c r="V72" s="15" t="n"/>
      <c r="W72" s="15" t="n"/>
      <c r="X72" s="15" t="n"/>
      <c r="Y72" s="15" t="n"/>
      <c r="Z72" s="15" t="n"/>
      <c r="AA72" s="15" t="n"/>
      <c r="AB72" s="15" t="n"/>
      <c r="AC72" s="15" t="n"/>
      <c r="AD72" s="15" t="n"/>
      <c r="AE72" s="15" t="n"/>
      <c r="AF72" s="15" t="n"/>
      <c r="AG72" s="15" t="n"/>
      <c r="AH72" s="15" t="n"/>
      <c r="AI72" s="15" t="n"/>
      <c r="AJ72" s="15" t="n"/>
      <c r="AK72" s="15" t="n"/>
      <c r="AL72" s="15" t="n"/>
      <c r="AM72" s="15" t="n"/>
      <c r="AN72" s="15" t="n"/>
      <c r="AO72" s="15" t="n"/>
      <c r="AP72" s="15" t="n"/>
      <c r="AQ72" s="15" t="n"/>
      <c r="AR72" s="15" t="n"/>
      <c r="AS72" s="15" t="n"/>
      <c r="AT72" s="15" t="n"/>
      <c r="AU72" s="15" t="n"/>
      <c r="AV72" s="15" t="n"/>
      <c r="AW72" s="15" t="n"/>
      <c r="AX72" s="15" t="n"/>
      <c r="AY72" s="15" t="n"/>
      <c r="AZ72" s="15" t="n"/>
      <c r="BA72" s="15" t="n"/>
      <c r="BB72" s="15" t="n"/>
      <c r="BC72" s="15" t="n"/>
      <c r="BD72" s="15" t="n"/>
      <c r="BE72" s="15" t="n"/>
      <c r="BF72" s="15" t="n"/>
      <c r="BG72" s="15" t="n"/>
      <c r="BH72" s="15" t="n"/>
      <c r="BI72" s="15" t="n"/>
      <c r="BJ72" s="15" t="n"/>
      <c r="BK72" s="15" t="n"/>
      <c r="BL72" s="15" t="n"/>
      <c r="BM72" s="15" t="n"/>
      <c r="BN72" s="15" t="n"/>
      <c r="BO72" s="15" t="n"/>
      <c r="BP72" s="15" t="n"/>
      <c r="BQ72" s="15" t="n"/>
      <c r="BR72" s="15" t="n"/>
      <c r="BS72" s="15" t="n"/>
      <c r="BT72" s="15" t="n"/>
      <c r="BU72" s="15" t="n"/>
      <c r="BV72" s="15" t="n"/>
      <c r="BW72" s="15" t="n"/>
      <c r="BX72" s="15" t="n"/>
      <c r="BY72" s="15" t="n"/>
      <c r="BZ72" s="15" t="n"/>
      <c r="CA72" s="15" t="n"/>
      <c r="CB72" s="15" t="n"/>
      <c r="CC72" s="15" t="n"/>
      <c r="CD72" s="15" t="n"/>
      <c r="CE72" s="15" t="n"/>
      <c r="CF72" s="15" t="n"/>
      <c r="CG72" s="15" t="n"/>
      <c r="CH72" s="15" t="n"/>
      <c r="CI72" s="15" t="n"/>
      <c r="CJ72" s="15" t="n"/>
      <c r="CK72" s="15" t="n"/>
      <c r="CL72" s="15" t="n"/>
      <c r="CM72" s="15" t="n"/>
      <c r="CN72" s="15" t="n"/>
      <c r="CO72" s="15" t="n"/>
      <c r="CP72" s="15" t="n"/>
      <c r="CQ72" s="15" t="n"/>
      <c r="CR72" s="15" t="n"/>
      <c r="CS72" s="15" t="n"/>
      <c r="CT72" s="15" t="n"/>
      <c r="CU72" s="15" t="n"/>
      <c r="CV72" s="15" t="n"/>
      <c r="CW72" s="15" t="n"/>
      <c r="CX72" s="15" t="n"/>
      <c r="CY72" s="15" t="n"/>
      <c r="CZ72" s="15" t="n"/>
      <c r="DA72" s="15" t="n"/>
      <c r="DB72" s="15" t="n"/>
      <c r="DC72" s="15" t="n"/>
      <c r="DD72" s="15" t="n"/>
      <c r="DE72" s="15" t="n"/>
      <c r="DF72" s="15" t="n"/>
      <c r="DG72" s="16" t="inlineStr">
        <is>
          <t>I+C</t>
        </is>
      </c>
      <c r="DH72" s="15" t="n"/>
      <c r="DI72" s="15" t="n"/>
      <c r="DJ72" s="15" t="n"/>
      <c r="DK72" s="15" t="n"/>
      <c r="DL72" s="15" t="n"/>
    </row>
    <row r="73">
      <c r="A73" s="14" t="inlineStr">
        <is>
          <t>22(b)</t>
        </is>
      </c>
      <c r="B73" s="7" t="inlineStr">
        <is>
          <t>Counterpart / duplicate - other</t>
        </is>
      </c>
      <c r="C73" s="15" t="n"/>
      <c r="D73" s="15" t="n"/>
      <c r="E73" s="15" t="n"/>
      <c r="F73" s="15" t="n"/>
      <c r="G73" s="15" t="n"/>
      <c r="H73" s="15" t="n"/>
      <c r="I73" s="15" t="n"/>
      <c r="J73" s="15" t="n"/>
      <c r="K73" s="15" t="n"/>
      <c r="L73" s="15" t="n"/>
      <c r="M73" s="15" t="n"/>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c r="AH73" s="15" t="n"/>
      <c r="AI73" s="15" t="n"/>
      <c r="AJ73" s="15" t="n"/>
      <c r="AK73" s="15" t="n"/>
      <c r="AL73" s="15" t="n"/>
      <c r="AM73" s="15" t="n"/>
      <c r="AN73" s="15" t="n"/>
      <c r="AO73" s="15" t="n"/>
      <c r="AP73" s="15" t="n"/>
      <c r="AQ73" s="15" t="n"/>
      <c r="AR73" s="15" t="n"/>
      <c r="AS73" s="15" t="n"/>
      <c r="AT73" s="15" t="n"/>
      <c r="AU73" s="15" t="n"/>
      <c r="AV73" s="15" t="n"/>
      <c r="AW73" s="15" t="n"/>
      <c r="AX73" s="15" t="n"/>
      <c r="AY73" s="15" t="n"/>
      <c r="AZ73" s="15" t="n"/>
      <c r="BA73" s="15" t="n"/>
      <c r="BB73" s="15" t="n"/>
      <c r="BC73" s="15" t="n"/>
      <c r="BD73" s="15" t="n"/>
      <c r="BE73" s="15" t="n"/>
      <c r="BF73" s="15" t="n"/>
      <c r="BG73" s="15" t="n"/>
      <c r="BH73" s="15" t="n"/>
      <c r="BI73" s="15" t="n"/>
      <c r="BJ73" s="15" t="n"/>
      <c r="BK73" s="15" t="n"/>
      <c r="BL73" s="15" t="n"/>
      <c r="BM73" s="15" t="n"/>
      <c r="BN73" s="15" t="n"/>
      <c r="BO73" s="15" t="n"/>
      <c r="BP73" s="15" t="n"/>
      <c r="BQ73" s="15" t="n"/>
      <c r="BR73" s="15" t="n"/>
      <c r="BS73" s="15" t="n"/>
      <c r="BT73" s="15" t="n"/>
      <c r="BU73" s="15" t="n"/>
      <c r="BV73" s="15" t="n"/>
      <c r="BW73" s="15" t="n"/>
      <c r="BX73" s="15" t="n"/>
      <c r="BY73" s="15" t="n"/>
      <c r="BZ73" s="15" t="n"/>
      <c r="CA73" s="15" t="n"/>
      <c r="CB73" s="15" t="n"/>
      <c r="CC73" s="15" t="n"/>
      <c r="CD73" s="15" t="n"/>
      <c r="CE73" s="15" t="n"/>
      <c r="CF73" s="15" t="n"/>
      <c r="CG73" s="15" t="n"/>
      <c r="CH73" s="15" t="n"/>
      <c r="CI73" s="15" t="n"/>
      <c r="CJ73" s="15" t="n"/>
      <c r="CK73" s="15" t="n"/>
      <c r="CL73" s="15" t="n"/>
      <c r="CM73" s="15" t="n"/>
      <c r="CN73" s="15" t="n"/>
      <c r="CO73" s="15" t="n"/>
      <c r="CP73" s="15" t="n"/>
      <c r="CQ73" s="15" t="n"/>
      <c r="CR73" s="15" t="n"/>
      <c r="CS73" s="15" t="n"/>
      <c r="CT73" s="15" t="n"/>
      <c r="CU73" s="15" t="n"/>
      <c r="CV73" s="15" t="n"/>
      <c r="CW73" s="15" t="n"/>
      <c r="CX73" s="15" t="n"/>
      <c r="CY73" s="15" t="n"/>
      <c r="CZ73" s="15" t="n"/>
      <c r="DA73" s="15" t="n"/>
      <c r="DB73" s="15" t="n"/>
      <c r="DC73" s="15" t="n"/>
      <c r="DD73" s="15" t="n"/>
      <c r="DE73" s="15" t="n"/>
      <c r="DF73" s="15" t="n"/>
      <c r="DG73" s="17" t="inlineStr">
        <is>
          <t>I</t>
        </is>
      </c>
      <c r="DH73" s="15" t="n"/>
      <c r="DI73" s="15" t="n"/>
      <c r="DJ73" s="15" t="n"/>
      <c r="DK73" s="15" t="n"/>
      <c r="DL73" s="15" t="n"/>
    </row>
    <row r="74">
      <c r="A74" s="14" t="inlineStr">
        <is>
          <t>23(a)</t>
        </is>
      </c>
      <c r="B74" s="7" t="inlineStr">
        <is>
          <t>Customs / Excise bond - amount &lt;= Rs.1,000</t>
        </is>
      </c>
      <c r="C74" s="15" t="n"/>
      <c r="D74" s="15" t="n"/>
      <c r="E74" s="15" t="n"/>
      <c r="F74" s="15" t="n"/>
      <c r="G74" s="15" t="n"/>
      <c r="H74" s="15" t="n"/>
      <c r="I74" s="15" t="n"/>
      <c r="J74" s="15" t="n"/>
      <c r="K74" s="15" t="n"/>
      <c r="L74" s="15" t="n"/>
      <c r="M74" s="15" t="n"/>
      <c r="N74" s="15" t="n"/>
      <c r="O74" s="15" t="n"/>
      <c r="P74" s="15" t="n"/>
      <c r="Q74" s="15" t="n"/>
      <c r="R74" s="15" t="n"/>
      <c r="S74" s="15" t="n"/>
      <c r="T74" s="15" t="n"/>
      <c r="U74" s="15" t="n"/>
      <c r="V74" s="15" t="n"/>
      <c r="W74" s="15" t="n"/>
      <c r="X74" s="15" t="n"/>
      <c r="Y74" s="15" t="n"/>
      <c r="Z74" s="15" t="n"/>
      <c r="AA74" s="15" t="n"/>
      <c r="AB74" s="15" t="n"/>
      <c r="AC74" s="15" t="n"/>
      <c r="AD74" s="15" t="n"/>
      <c r="AE74" s="15" t="n"/>
      <c r="AF74" s="15" t="n"/>
      <c r="AG74" s="15" t="n"/>
      <c r="AH74" s="15" t="n"/>
      <c r="AI74" s="15" t="n"/>
      <c r="AJ74" s="15" t="n"/>
      <c r="AK74" s="15" t="n"/>
      <c r="AL74" s="15" t="n"/>
      <c r="AM74" s="15" t="n"/>
      <c r="AN74" s="15" t="n"/>
      <c r="AO74" s="15" t="n"/>
      <c r="AP74" s="15" t="n"/>
      <c r="AQ74" s="15" t="n"/>
      <c r="AR74" s="15" t="n"/>
      <c r="AS74" s="15" t="n"/>
      <c r="AT74" s="15" t="n"/>
      <c r="AU74" s="15" t="n"/>
      <c r="AV74" s="15" t="n"/>
      <c r="AW74" s="15" t="n"/>
      <c r="AX74" s="15" t="n"/>
      <c r="AY74" s="15" t="n"/>
      <c r="AZ74" s="15" t="n"/>
      <c r="BA74" s="15" t="n"/>
      <c r="BB74" s="15" t="n"/>
      <c r="BC74" s="15" t="n"/>
      <c r="BD74" s="15" t="n"/>
      <c r="BE74" s="15" t="n"/>
      <c r="BF74" s="15" t="n"/>
      <c r="BG74" s="15" t="n"/>
      <c r="BH74" s="15" t="n"/>
      <c r="BI74" s="15" t="n"/>
      <c r="BJ74" s="15" t="n"/>
      <c r="BK74" s="15" t="n"/>
      <c r="BL74" s="15" t="n"/>
      <c r="BM74" s="15" t="n"/>
      <c r="BN74" s="15" t="n"/>
      <c r="BO74" s="15" t="n"/>
      <c r="BP74" s="15" t="n"/>
      <c r="BQ74" s="15" t="n"/>
      <c r="BR74" s="15" t="n"/>
      <c r="BS74" s="15" t="n"/>
      <c r="BT74" s="15" t="n"/>
      <c r="BU74" s="15" t="n"/>
      <c r="BV74" s="15" t="n"/>
      <c r="BW74" s="15" t="n"/>
      <c r="BX74" s="15" t="n"/>
      <c r="BY74" s="15" t="n"/>
      <c r="BZ74" s="15" t="n"/>
      <c r="CA74" s="15" t="n"/>
      <c r="CB74" s="15" t="n"/>
      <c r="CC74" s="15" t="n"/>
      <c r="CD74" s="15" t="n"/>
      <c r="CE74" s="15" t="n"/>
      <c r="CF74" s="15" t="n"/>
      <c r="CG74" s="15" t="n"/>
      <c r="CH74" s="15" t="n"/>
      <c r="CI74" s="15" t="n"/>
      <c r="CJ74" s="15" t="n"/>
      <c r="CK74" s="15" t="n"/>
      <c r="CL74" s="15" t="n"/>
      <c r="CM74" s="15" t="n"/>
      <c r="CN74" s="15" t="n"/>
      <c r="CO74" s="15" t="n"/>
      <c r="CP74" s="15" t="n"/>
      <c r="CQ74" s="15" t="n"/>
      <c r="CR74" s="15" t="n"/>
      <c r="CS74" s="15" t="n"/>
      <c r="CT74" s="15" t="n"/>
      <c r="CU74" s="15" t="n"/>
      <c r="CV74" s="15" t="n"/>
      <c r="CW74" s="15" t="n"/>
      <c r="CX74" s="15" t="n"/>
      <c r="CY74" s="16" t="inlineStr">
        <is>
          <t>I+C</t>
        </is>
      </c>
      <c r="CZ74" s="15" t="n"/>
      <c r="DA74" s="15" t="n"/>
      <c r="DB74" s="15" t="n"/>
      <c r="DC74" s="15" t="n"/>
      <c r="DD74" s="15" t="n"/>
      <c r="DE74" s="15" t="n"/>
      <c r="DF74" s="15" t="n"/>
      <c r="DG74" s="15" t="n"/>
      <c r="DH74" s="15" t="n"/>
      <c r="DI74" s="15" t="n"/>
      <c r="DJ74" s="15" t="n"/>
      <c r="DK74" s="15" t="n"/>
      <c r="DL74" s="17" t="inlineStr">
        <is>
          <t>I</t>
        </is>
      </c>
    </row>
    <row r="75">
      <c r="A75" s="14" t="inlineStr">
        <is>
          <t>23(b)</t>
        </is>
      </c>
      <c r="B75" s="7" t="inlineStr">
        <is>
          <t>Customs / Excise bond - other</t>
        </is>
      </c>
      <c r="C75" s="15" t="n"/>
      <c r="D75" s="15" t="n"/>
      <c r="E75" s="15" t="n"/>
      <c r="F75" s="15" t="n"/>
      <c r="G75" s="15" t="n"/>
      <c r="H75" s="15" t="n"/>
      <c r="I75" s="15" t="n"/>
      <c r="J75" s="15" t="n"/>
      <c r="K75" s="15" t="n"/>
      <c r="L75" s="15" t="n"/>
      <c r="M75" s="15" t="n"/>
      <c r="N75" s="15" t="n"/>
      <c r="O75" s="15" t="n"/>
      <c r="P75" s="15" t="n"/>
      <c r="Q75" s="15" t="n"/>
      <c r="R75" s="15" t="n"/>
      <c r="S75" s="15" t="n"/>
      <c r="T75" s="15" t="n"/>
      <c r="U75" s="15" t="n"/>
      <c r="V75" s="15" t="n"/>
      <c r="W75" s="15" t="n"/>
      <c r="X75" s="15" t="n"/>
      <c r="Y75" s="15" t="n"/>
      <c r="Z75" s="15" t="n"/>
      <c r="AA75" s="15" t="n"/>
      <c r="AB75" s="15" t="n"/>
      <c r="AC75" s="15" t="n"/>
      <c r="AD75" s="15" t="n"/>
      <c r="AE75" s="15" t="n"/>
      <c r="AF75" s="15" t="n"/>
      <c r="AG75" s="15" t="n"/>
      <c r="AH75" s="15" t="n"/>
      <c r="AI75" s="15" t="n"/>
      <c r="AJ75" s="15" t="n"/>
      <c r="AK75" s="15" t="n"/>
      <c r="AL75" s="15" t="n"/>
      <c r="AM75" s="15" t="n"/>
      <c r="AN75" s="15" t="n"/>
      <c r="AO75" s="15" t="n"/>
      <c r="AP75" s="15" t="n"/>
      <c r="AQ75" s="15" t="n"/>
      <c r="AR75" s="15" t="n"/>
      <c r="AS75" s="15" t="n"/>
      <c r="AT75" s="15" t="n"/>
      <c r="AU75" s="15" t="n"/>
      <c r="AV75" s="15" t="n"/>
      <c r="AW75" s="15" t="n"/>
      <c r="AX75" s="15" t="n"/>
      <c r="AY75" s="15" t="n"/>
      <c r="AZ75" s="15" t="n"/>
      <c r="BA75" s="15" t="n"/>
      <c r="BB75" s="15" t="n"/>
      <c r="BC75" s="15" t="n"/>
      <c r="BD75" s="15" t="n"/>
      <c r="BE75" s="15" t="n"/>
      <c r="BF75" s="15" t="n"/>
      <c r="BG75" s="15" t="n"/>
      <c r="BH75" s="15" t="n"/>
      <c r="BI75" s="15" t="n"/>
      <c r="BJ75" s="15" t="n"/>
      <c r="BK75" s="15" t="n"/>
      <c r="BL75" s="15" t="n"/>
      <c r="BM75" s="15" t="n"/>
      <c r="BN75" s="15" t="n"/>
      <c r="BO75" s="15" t="n"/>
      <c r="BP75" s="15" t="n"/>
      <c r="BQ75" s="15" t="n"/>
      <c r="BR75" s="15" t="n"/>
      <c r="BS75" s="15" t="n"/>
      <c r="BT75" s="15" t="n"/>
      <c r="BU75" s="15" t="n"/>
      <c r="BV75" s="15" t="n"/>
      <c r="BW75" s="15" t="n"/>
      <c r="BX75" s="15" t="n"/>
      <c r="BY75" s="15" t="n"/>
      <c r="BZ75" s="15" t="n"/>
      <c r="CA75" s="15" t="n"/>
      <c r="CB75" s="15" t="n"/>
      <c r="CC75" s="15" t="n"/>
      <c r="CD75" s="15" t="n"/>
      <c r="CE75" s="15" t="n"/>
      <c r="CF75" s="15" t="n"/>
      <c r="CG75" s="15" t="n"/>
      <c r="CH75" s="15" t="n"/>
      <c r="CI75" s="15" t="n"/>
      <c r="CJ75" s="15" t="n"/>
      <c r="CK75" s="15" t="n"/>
      <c r="CL75" s="15" t="n"/>
      <c r="CM75" s="15" t="n"/>
      <c r="CN75" s="15" t="n"/>
      <c r="CO75" s="15" t="n"/>
      <c r="CP75" s="15" t="n"/>
      <c r="CQ75" s="15" t="n"/>
      <c r="CR75" s="15" t="n"/>
      <c r="CS75" s="15" t="n"/>
      <c r="CT75" s="15" t="n"/>
      <c r="CU75" s="15" t="n"/>
      <c r="CV75" s="15" t="n"/>
      <c r="CW75" s="15" t="n"/>
      <c r="CX75" s="15" t="n"/>
      <c r="CY75" s="17" t="inlineStr">
        <is>
          <t>I</t>
        </is>
      </c>
      <c r="CZ75" s="15" t="n"/>
      <c r="DA75" s="15" t="n"/>
      <c r="DB75" s="15" t="n"/>
      <c r="DC75" s="15" t="n"/>
      <c r="DD75" s="15" t="n"/>
      <c r="DE75" s="15" t="n"/>
      <c r="DF75" s="15" t="n"/>
      <c r="DG75" s="15" t="n"/>
      <c r="DH75" s="15" t="n"/>
      <c r="DI75" s="15" t="n"/>
      <c r="DJ75" s="15" t="n"/>
      <c r="DK75" s="15" t="n"/>
      <c r="DL75" s="17" t="inlineStr">
        <is>
          <t>I</t>
        </is>
      </c>
    </row>
    <row r="76">
      <c r="A76" s="14" t="inlineStr">
        <is>
          <t>24</t>
        </is>
      </c>
      <c r="B76" s="7" t="inlineStr">
        <is>
          <t>Delivery order in respect of goods</t>
        </is>
      </c>
      <c r="C76" s="15" t="n"/>
      <c r="D76" s="15" t="n"/>
      <c r="E76" s="15" t="n"/>
      <c r="F76" s="15" t="n"/>
      <c r="G76" s="15" t="n"/>
      <c r="H76" s="15" t="n"/>
      <c r="I76" s="15" t="n"/>
      <c r="J76" s="15" t="n"/>
      <c r="K76" s="15" t="n"/>
      <c r="L76" s="15" t="n"/>
      <c r="M76" s="15" t="n"/>
      <c r="N76" s="15" t="n"/>
      <c r="O76" s="15" t="n"/>
      <c r="P76" s="15" t="n"/>
      <c r="Q76" s="15" t="n"/>
      <c r="R76" s="15" t="n"/>
      <c r="S76" s="19" t="inlineStr">
        <is>
          <t>C</t>
        </is>
      </c>
      <c r="T76" s="15" t="n"/>
      <c r="U76" s="15" t="n"/>
      <c r="V76" s="15" t="n"/>
      <c r="W76" s="15" t="n"/>
      <c r="X76" s="15" t="n"/>
      <c r="Y76" s="15" t="n"/>
      <c r="Z76" s="15" t="n"/>
      <c r="AA76" s="15" t="n"/>
      <c r="AB76" s="15" t="n"/>
      <c r="AC76" s="15" t="n"/>
      <c r="AD76" s="15" t="n"/>
      <c r="AE76" s="15" t="n"/>
      <c r="AF76" s="15" t="n"/>
      <c r="AG76" s="15" t="n"/>
      <c r="AH76" s="15" t="n"/>
      <c r="AI76" s="15" t="n"/>
      <c r="AJ76" s="15" t="n"/>
      <c r="AK76" s="15" t="n"/>
      <c r="AL76" s="15" t="n"/>
      <c r="AM76" s="15" t="n"/>
      <c r="AN76" s="15" t="n"/>
      <c r="AO76" s="15" t="n"/>
      <c r="AP76" s="15" t="n"/>
      <c r="AQ76" s="15" t="n"/>
      <c r="AR76" s="15" t="n"/>
      <c r="AS76" s="15" t="n"/>
      <c r="AT76" s="15" t="n"/>
      <c r="AU76" s="15" t="n"/>
      <c r="AV76" s="15" t="n"/>
      <c r="AW76" s="15" t="n"/>
      <c r="AX76" s="15" t="n"/>
      <c r="AY76" s="15" t="n"/>
      <c r="AZ76" s="15" t="n"/>
      <c r="BA76" s="15" t="n"/>
      <c r="BB76" s="15" t="n"/>
      <c r="BC76" s="15" t="n"/>
      <c r="BD76" s="15" t="n"/>
      <c r="BE76" s="15" t="n"/>
      <c r="BF76" s="15" t="n"/>
      <c r="BG76" s="15" t="n"/>
      <c r="BH76" s="15" t="n"/>
      <c r="BI76" s="15" t="n"/>
      <c r="BJ76" s="15" t="n"/>
      <c r="BK76" s="15" t="n"/>
      <c r="BL76" s="15" t="n"/>
      <c r="BM76" s="15" t="n"/>
      <c r="BN76" s="15" t="n"/>
      <c r="BO76" s="15" t="n"/>
      <c r="BP76" s="15" t="n"/>
      <c r="BQ76" s="15" t="n"/>
      <c r="BR76" s="15" t="n"/>
      <c r="BS76" s="15" t="n"/>
      <c r="BT76" s="15" t="n"/>
      <c r="BU76" s="15" t="n"/>
      <c r="BV76" s="15" t="n"/>
      <c r="BW76" s="15" t="n"/>
      <c r="BX76" s="15" t="n"/>
      <c r="BY76" s="15" t="n"/>
      <c r="BZ76" s="15" t="n"/>
      <c r="CA76" s="15" t="n"/>
      <c r="CB76" s="15" t="n"/>
      <c r="CC76" s="15" t="n"/>
      <c r="CD76" s="15" t="n"/>
      <c r="CE76" s="15" t="n"/>
      <c r="CF76" s="15" t="n"/>
      <c r="CG76" s="15" t="n"/>
      <c r="CH76" s="15" t="n"/>
      <c r="CI76" s="15" t="n"/>
      <c r="CJ76" s="15" t="n"/>
      <c r="CK76" s="15" t="n"/>
      <c r="CL76" s="15" t="n"/>
      <c r="CM76" s="15" t="n"/>
      <c r="CN76" s="15" t="n"/>
      <c r="CO76" s="15" t="n"/>
      <c r="CP76" s="15" t="n"/>
      <c r="CQ76" s="15" t="n"/>
      <c r="CR76" s="15" t="n"/>
      <c r="CS76" s="15" t="n"/>
      <c r="CT76" s="15" t="n"/>
      <c r="CU76" s="15" t="n"/>
      <c r="CV76" s="15" t="n"/>
      <c r="CW76" s="15" t="n"/>
      <c r="CX76" s="15" t="n"/>
      <c r="CY76" s="15" t="n"/>
      <c r="CZ76" s="15" t="n"/>
      <c r="DA76" s="15" t="n"/>
      <c r="DB76" s="15" t="n"/>
      <c r="DC76" s="15" t="n"/>
      <c r="DD76" s="15" t="n"/>
      <c r="DE76" s="15" t="n"/>
      <c r="DF76" s="15" t="n"/>
      <c r="DG76" s="15" t="n"/>
      <c r="DH76" s="17" t="inlineStr">
        <is>
          <t>I</t>
        </is>
      </c>
      <c r="DI76" s="15" t="n"/>
      <c r="DJ76" s="15" t="n"/>
      <c r="DK76" s="15" t="n"/>
      <c r="DL76" s="15" t="n"/>
    </row>
    <row r="77">
      <c r="A77" s="14" t="inlineStr">
        <is>
          <t>25</t>
        </is>
      </c>
      <c r="B77" s="7" t="inlineStr">
        <is>
          <t>Instrument of divorce</t>
        </is>
      </c>
      <c r="C77" s="15" t="n"/>
      <c r="D77" s="15" t="n"/>
      <c r="E77" s="15" t="n"/>
      <c r="F77" s="15" t="n"/>
      <c r="G77" s="15" t="n"/>
      <c r="H77" s="15" t="n"/>
      <c r="I77" s="15" t="n"/>
      <c r="J77" s="15" t="n"/>
      <c r="K77" s="15" t="n"/>
      <c r="L77" s="15" t="n"/>
      <c r="M77" s="15" t="n"/>
      <c r="N77" s="15" t="n"/>
      <c r="O77" s="15" t="n"/>
      <c r="P77" s="15" t="n"/>
      <c r="Q77" s="15" t="n"/>
      <c r="R77" s="15" t="n"/>
      <c r="S77" s="15" t="n"/>
      <c r="T77" s="15" t="n"/>
      <c r="U77" s="15" t="n"/>
      <c r="V77" s="15" t="n"/>
      <c r="W77" s="15" t="n"/>
      <c r="X77" s="15" t="n"/>
      <c r="Y77" s="15" t="n"/>
      <c r="Z77" s="15" t="n"/>
      <c r="AA77" s="15" t="n"/>
      <c r="AB77" s="15" t="n"/>
      <c r="AC77" s="15" t="n"/>
      <c r="AD77" s="15" t="n"/>
      <c r="AE77" s="15" t="n"/>
      <c r="AF77" s="15" t="n"/>
      <c r="AG77" s="15" t="n"/>
      <c r="AH77" s="15" t="n"/>
      <c r="AI77" s="15" t="n"/>
      <c r="AJ77" s="15" t="n"/>
      <c r="AK77" s="15" t="n"/>
      <c r="AL77" s="15" t="n"/>
      <c r="AM77" s="15" t="n"/>
      <c r="AN77" s="15" t="n"/>
      <c r="AO77" s="15" t="n"/>
      <c r="AP77" s="15" t="n"/>
      <c r="AQ77" s="15" t="n"/>
      <c r="AR77" s="15" t="n"/>
      <c r="AS77" s="15" t="n"/>
      <c r="AT77" s="15" t="n"/>
      <c r="AU77" s="15" t="n"/>
      <c r="AV77" s="15" t="n"/>
      <c r="AW77" s="15" t="n"/>
      <c r="AX77" s="15" t="n"/>
      <c r="AY77" s="15" t="n"/>
      <c r="AZ77" s="15" t="n"/>
      <c r="BA77" s="15" t="n"/>
      <c r="BB77" s="15" t="n"/>
      <c r="BC77" s="15" t="n"/>
      <c r="BD77" s="15" t="n"/>
      <c r="BE77" s="15" t="n"/>
      <c r="BF77" s="15" t="n"/>
      <c r="BG77" s="15" t="n"/>
      <c r="BH77" s="15" t="n"/>
      <c r="BI77" s="15" t="n"/>
      <c r="BJ77" s="15" t="n"/>
      <c r="BK77" s="15" t="n"/>
      <c r="BL77" s="15" t="n"/>
      <c r="BM77" s="15" t="n"/>
      <c r="BN77" s="15" t="n"/>
      <c r="BO77" s="15" t="n"/>
      <c r="BP77" s="15" t="n"/>
      <c r="BQ77" s="15" t="n"/>
      <c r="BR77" s="15" t="n"/>
      <c r="BS77" s="15" t="n"/>
      <c r="BT77" s="15" t="n"/>
      <c r="BU77" s="15" t="n"/>
      <c r="BV77" s="15" t="n"/>
      <c r="BW77" s="15" t="n"/>
      <c r="BX77" s="15" t="n"/>
      <c r="BY77" s="15" t="n"/>
      <c r="BZ77" s="15" t="n"/>
      <c r="CA77" s="15" t="n"/>
      <c r="CB77" s="15" t="n"/>
      <c r="CC77" s="15" t="n"/>
      <c r="CD77" s="15" t="n"/>
      <c r="CE77" s="15" t="n"/>
      <c r="CF77" s="15" t="n"/>
      <c r="CG77" s="15" t="n"/>
      <c r="CH77" s="15" t="n"/>
      <c r="CI77" s="15" t="n"/>
      <c r="CJ77" s="15" t="n"/>
      <c r="CK77" s="15" t="n"/>
      <c r="CL77" s="15" t="n"/>
      <c r="CM77" s="15" t="n"/>
      <c r="CN77" s="15" t="n"/>
      <c r="CO77" s="15" t="n"/>
      <c r="CP77" s="15" t="n"/>
      <c r="CQ77" s="15" t="n"/>
      <c r="CR77" s="15" t="n"/>
      <c r="CS77" s="15" t="n"/>
      <c r="CT77" s="15" t="n"/>
      <c r="CU77" s="15" t="n"/>
      <c r="CV77" s="15" t="n"/>
      <c r="CW77" s="15" t="n"/>
      <c r="CX77" s="15" t="n"/>
      <c r="CY77" s="15" t="n"/>
      <c r="CZ77" s="15" t="n"/>
      <c r="DA77" s="15" t="n"/>
      <c r="DB77" s="15" t="n"/>
      <c r="DC77" s="15" t="n"/>
      <c r="DD77" s="15" t="n"/>
      <c r="DE77" s="15" t="n"/>
      <c r="DF77" s="15" t="n"/>
      <c r="DG77" s="15" t="n"/>
      <c r="DH77" s="15" t="n"/>
      <c r="DI77" s="15" t="n"/>
      <c r="DJ77" s="15" t="n"/>
      <c r="DK77" s="15" t="n"/>
      <c r="DL77" s="15" t="n"/>
    </row>
    <row r="78">
      <c r="A78" s="14" t="inlineStr">
        <is>
          <t>26</t>
        </is>
      </c>
      <c r="B78" s="7" t="inlineStr">
        <is>
          <t>Exchange of property</t>
        </is>
      </c>
      <c r="C78" s="15" t="n"/>
      <c r="D78" s="15" t="n"/>
      <c r="E78" s="15" t="n"/>
      <c r="F78" s="15" t="n"/>
      <c r="G78" s="15" t="n"/>
      <c r="H78" s="15" t="n"/>
      <c r="I78" s="15" t="n"/>
      <c r="J78" s="17" t="inlineStr">
        <is>
          <t>I</t>
        </is>
      </c>
      <c r="K78" s="15" t="n"/>
      <c r="L78" s="15" t="n"/>
      <c r="M78" s="15" t="n"/>
      <c r="N78" s="15" t="n"/>
      <c r="O78" s="15" t="n"/>
      <c r="P78" s="15" t="n"/>
      <c r="Q78" s="15" t="n"/>
      <c r="R78" s="19" t="inlineStr">
        <is>
          <t>C</t>
        </is>
      </c>
      <c r="S78" s="15" t="n"/>
      <c r="T78" s="15" t="n"/>
      <c r="U78" s="15" t="n"/>
      <c r="V78" s="15" t="n"/>
      <c r="W78" s="15" t="n"/>
      <c r="X78" s="15" t="n"/>
      <c r="Y78" s="15" t="n"/>
      <c r="Z78" s="15" t="n"/>
      <c r="AA78" s="15" t="n"/>
      <c r="AB78" s="15" t="n"/>
      <c r="AC78" s="15" t="n"/>
      <c r="AD78" s="15" t="n"/>
      <c r="AE78" s="15" t="n"/>
      <c r="AF78" s="15" t="n"/>
      <c r="AG78" s="15" t="n"/>
      <c r="AH78" s="15" t="n"/>
      <c r="AI78" s="15" t="n"/>
      <c r="AJ78" s="15" t="n"/>
      <c r="AK78" s="15" t="n"/>
      <c r="AL78" s="15" t="n"/>
      <c r="AM78" s="15" t="n"/>
      <c r="AN78" s="15" t="n"/>
      <c r="AO78" s="15" t="n"/>
      <c r="AP78" s="15" t="n"/>
      <c r="AQ78" s="15" t="n"/>
      <c r="AR78" s="15" t="n"/>
      <c r="AS78" s="15" t="n"/>
      <c r="AT78" s="15" t="n"/>
      <c r="AU78" s="15" t="n"/>
      <c r="AV78" s="15" t="n"/>
      <c r="AW78" s="15" t="n"/>
      <c r="AX78" s="15" t="n"/>
      <c r="AY78" s="15" t="n"/>
      <c r="AZ78" s="15" t="n"/>
      <c r="BA78" s="15" t="n"/>
      <c r="BB78" s="15" t="n"/>
      <c r="BC78" s="15" t="n"/>
      <c r="BD78" s="15" t="n"/>
      <c r="BE78" s="15" t="n"/>
      <c r="BF78" s="15" t="n"/>
      <c r="BG78" s="15" t="n"/>
      <c r="BH78" s="15" t="n"/>
      <c r="BI78" s="15" t="n"/>
      <c r="BJ78" s="15" t="n"/>
      <c r="BK78" s="15" t="n"/>
      <c r="BL78" s="15" t="n"/>
      <c r="BM78" s="15" t="n"/>
      <c r="BN78" s="15" t="n"/>
      <c r="BO78" s="15" t="n"/>
      <c r="BP78" s="15" t="n"/>
      <c r="BQ78" s="15" t="n"/>
      <c r="BR78" s="15" t="n"/>
      <c r="BS78" s="15" t="n"/>
      <c r="BT78" s="15" t="n"/>
      <c r="BU78" s="15" t="n"/>
      <c r="BV78" s="15" t="n"/>
      <c r="BW78" s="15" t="n"/>
      <c r="BX78" s="15" t="n"/>
      <c r="BY78" s="15" t="n"/>
      <c r="BZ78" s="15" t="n"/>
      <c r="CA78" s="15" t="n"/>
      <c r="CB78" s="15" t="n"/>
      <c r="CC78" s="15" t="n"/>
      <c r="CD78" s="15" t="n"/>
      <c r="CE78" s="15" t="n"/>
      <c r="CF78" s="15" t="n"/>
      <c r="CG78" s="15" t="n"/>
      <c r="CH78" s="15" t="n"/>
      <c r="CI78" s="15" t="n"/>
      <c r="CJ78" s="15" t="n"/>
      <c r="CK78" s="15" t="n"/>
      <c r="CL78" s="15" t="n"/>
      <c r="CM78" s="15" t="n"/>
      <c r="CN78" s="15" t="n"/>
      <c r="CO78" s="15" t="n"/>
      <c r="CP78" s="15" t="n"/>
      <c r="CQ78" s="15" t="n"/>
      <c r="CR78" s="15" t="n"/>
      <c r="CS78" s="15" t="n"/>
      <c r="CT78" s="15" t="n"/>
      <c r="CU78" s="15" t="n"/>
      <c r="CV78" s="15" t="n"/>
      <c r="CW78" s="15" t="n"/>
      <c r="CX78" s="15" t="n"/>
      <c r="CY78" s="15" t="n"/>
      <c r="CZ78" s="15" t="n"/>
      <c r="DA78" s="15" t="n"/>
      <c r="DB78" s="15" t="n"/>
      <c r="DC78" s="15" t="n"/>
      <c r="DD78" s="15" t="n"/>
      <c r="DE78" s="15" t="n"/>
      <c r="DF78" s="15" t="n"/>
      <c r="DG78" s="15" t="n"/>
      <c r="DH78" s="15" t="n"/>
      <c r="DI78" s="15" t="n"/>
      <c r="DJ78" s="15" t="n"/>
      <c r="DK78" s="15" t="n"/>
      <c r="DL78" s="15" t="n"/>
    </row>
    <row r="79">
      <c r="A79" s="14" t="inlineStr">
        <is>
          <t>27(a)</t>
        </is>
      </c>
      <c r="B79" s="7" t="inlineStr">
        <is>
          <t>Further charge - original mortgage with possession</t>
        </is>
      </c>
      <c r="C79" s="15" t="n"/>
      <c r="D79" s="15" t="n"/>
      <c r="E79" s="15" t="n"/>
      <c r="F79" s="15" t="n"/>
      <c r="G79" s="15" t="n"/>
      <c r="H79" s="15" t="n"/>
      <c r="I79" s="15" t="n"/>
      <c r="J79" s="15" t="n"/>
      <c r="K79" s="15" t="n"/>
      <c r="L79" s="15" t="n"/>
      <c r="M79" s="15" t="n"/>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c r="AH79" s="15" t="n"/>
      <c r="AI79" s="19" t="inlineStr">
        <is>
          <t>C</t>
        </is>
      </c>
      <c r="AJ79" s="15" t="n"/>
      <c r="AK79" s="15" t="n"/>
      <c r="AL79" s="15" t="n"/>
      <c r="AM79" s="15" t="n"/>
      <c r="AN79" s="17" t="inlineStr">
        <is>
          <t>I</t>
        </is>
      </c>
      <c r="AO79" s="15" t="n"/>
      <c r="AP79" s="15" t="n"/>
      <c r="AQ79" s="15" t="n"/>
      <c r="AR79" s="15" t="n"/>
      <c r="AS79" s="15" t="n"/>
      <c r="AT79" s="15" t="n"/>
      <c r="AU79" s="15" t="n"/>
      <c r="AV79" s="15" t="n"/>
      <c r="AW79" s="15" t="n"/>
      <c r="AX79" s="15" t="n"/>
      <c r="AY79" s="15" t="n"/>
      <c r="AZ79" s="15" t="n"/>
      <c r="BA79" s="15" t="n"/>
      <c r="BB79" s="15" t="n"/>
      <c r="BC79" s="15" t="n"/>
      <c r="BD79" s="15" t="n"/>
      <c r="BE79" s="15" t="n"/>
      <c r="BF79" s="15" t="n"/>
      <c r="BG79" s="15" t="n"/>
      <c r="BH79" s="15" t="n"/>
      <c r="BI79" s="15" t="n"/>
      <c r="BJ79" s="15" t="n"/>
      <c r="BK79" s="15" t="n"/>
      <c r="BL79" s="15" t="n"/>
      <c r="BM79" s="15" t="n"/>
      <c r="BN79" s="15" t="n"/>
      <c r="BO79" s="15" t="n"/>
      <c r="BP79" s="15" t="n"/>
      <c r="BQ79" s="15" t="n"/>
      <c r="BR79" s="15" t="n"/>
      <c r="BS79" s="15" t="n"/>
      <c r="BT79" s="15" t="n"/>
      <c r="BU79" s="15" t="n"/>
      <c r="BV79" s="15" t="n"/>
      <c r="BW79" s="15" t="n"/>
      <c r="BX79" s="15" t="n"/>
      <c r="BY79" s="15" t="n"/>
      <c r="BZ79" s="15" t="n"/>
      <c r="CA79" s="15" t="n"/>
      <c r="CB79" s="15" t="n"/>
      <c r="CC79" s="15" t="n"/>
      <c r="CD79" s="15" t="n"/>
      <c r="CE79" s="15" t="n"/>
      <c r="CF79" s="15" t="n"/>
      <c r="CG79" s="15" t="n"/>
      <c r="CH79" s="15" t="n"/>
      <c r="CI79" s="15" t="n"/>
      <c r="CJ79" s="15" t="n"/>
      <c r="CK79" s="15" t="n"/>
      <c r="CL79" s="15" t="n"/>
      <c r="CM79" s="15" t="n"/>
      <c r="CN79" s="15" t="n"/>
      <c r="CO79" s="15" t="n"/>
      <c r="CP79" s="15" t="n"/>
      <c r="CQ79" s="15" t="n"/>
      <c r="CR79" s="15" t="n"/>
      <c r="CS79" s="15" t="n"/>
      <c r="CT79" s="15" t="n"/>
      <c r="CU79" s="15" t="n"/>
      <c r="CV79" s="15" t="n"/>
      <c r="CW79" s="15" t="n"/>
      <c r="CX79" s="15" t="n"/>
      <c r="CY79" s="15" t="n"/>
      <c r="CZ79" s="15" t="n"/>
      <c r="DA79" s="15" t="n"/>
      <c r="DB79" s="15" t="n"/>
      <c r="DC79" s="15" t="n"/>
      <c r="DD79" s="15" t="n"/>
      <c r="DE79" s="15" t="n"/>
      <c r="DF79" s="15" t="n"/>
      <c r="DG79" s="15" t="n"/>
      <c r="DH79" s="15" t="n"/>
      <c r="DI79" s="15" t="n"/>
      <c r="DJ79" s="15" t="n"/>
      <c r="DK79" s="15" t="n"/>
      <c r="DL79" s="15" t="n"/>
    </row>
    <row r="80">
      <c r="A80" s="14" t="inlineStr">
        <is>
          <t>27(b)(i)</t>
        </is>
      </c>
      <c r="B80" s="7" t="inlineStr">
        <is>
          <t>Further charge - original without possession; possession now given</t>
        </is>
      </c>
      <c r="C80" s="15" t="n"/>
      <c r="D80" s="15" t="n"/>
      <c r="E80" s="15" t="n"/>
      <c r="F80" s="15" t="n"/>
      <c r="G80" s="15" t="n"/>
      <c r="H80" s="15" t="n"/>
      <c r="I80" s="15" t="n"/>
      <c r="J80" s="15" t="n"/>
      <c r="K80" s="15" t="n"/>
      <c r="L80" s="15" t="n"/>
      <c r="M80" s="15" t="n"/>
      <c r="N80" s="15" t="n"/>
      <c r="O80" s="15" t="n"/>
      <c r="P80" s="15" t="n"/>
      <c r="Q80" s="15" t="n"/>
      <c r="R80" s="15" t="n"/>
      <c r="S80" s="15" t="n"/>
      <c r="T80" s="15" t="n"/>
      <c r="U80" s="15" t="n"/>
      <c r="V80" s="15" t="n"/>
      <c r="W80" s="15" t="n"/>
      <c r="X80" s="15" t="n"/>
      <c r="Y80" s="15" t="n"/>
      <c r="Z80" s="15" t="n"/>
      <c r="AA80" s="15" t="n"/>
      <c r="AB80" s="15" t="n"/>
      <c r="AC80" s="15" t="n"/>
      <c r="AD80" s="15" t="n"/>
      <c r="AE80" s="15" t="n"/>
      <c r="AF80" s="15" t="n"/>
      <c r="AG80" s="15" t="n"/>
      <c r="AH80" s="15" t="n"/>
      <c r="AI80" s="15" t="n"/>
      <c r="AJ80" s="15" t="n"/>
      <c r="AK80" s="15" t="n"/>
      <c r="AL80" s="15" t="n"/>
      <c r="AM80" s="15" t="n"/>
      <c r="AN80" s="17" t="inlineStr">
        <is>
          <t>I</t>
        </is>
      </c>
      <c r="AO80" s="17" t="inlineStr">
        <is>
          <t>I</t>
        </is>
      </c>
      <c r="AP80" s="19" t="inlineStr">
        <is>
          <t>C</t>
        </is>
      </c>
      <c r="AQ80" s="15" t="n"/>
      <c r="AR80" s="15" t="n"/>
      <c r="AS80" s="15" t="n"/>
      <c r="AT80" s="15" t="n"/>
      <c r="AU80" s="15" t="n"/>
      <c r="AV80" s="15" t="n"/>
      <c r="AW80" s="15" t="n"/>
      <c r="AX80" s="15" t="n"/>
      <c r="AY80" s="15" t="n"/>
      <c r="AZ80" s="15" t="n"/>
      <c r="BA80" s="15" t="n"/>
      <c r="BB80" s="15" t="n"/>
      <c r="BC80" s="15" t="n"/>
      <c r="BD80" s="15" t="n"/>
      <c r="BE80" s="15" t="n"/>
      <c r="BF80" s="15" t="n"/>
      <c r="BG80" s="15" t="n"/>
      <c r="BH80" s="15" t="n"/>
      <c r="BI80" s="15" t="n"/>
      <c r="BJ80" s="15" t="n"/>
      <c r="BK80" s="15" t="n"/>
      <c r="BL80" s="15" t="n"/>
      <c r="BM80" s="15" t="n"/>
      <c r="BN80" s="15" t="n"/>
      <c r="BO80" s="15" t="n"/>
      <c r="BP80" s="15" t="n"/>
      <c r="BQ80" s="15" t="n"/>
      <c r="BR80" s="15" t="n"/>
      <c r="BS80" s="15" t="n"/>
      <c r="BT80" s="15" t="n"/>
      <c r="BU80" s="15" t="n"/>
      <c r="BV80" s="15" t="n"/>
      <c r="BW80" s="15" t="n"/>
      <c r="BX80" s="15" t="n"/>
      <c r="BY80" s="15" t="n"/>
      <c r="BZ80" s="15" t="n"/>
      <c r="CA80" s="15" t="n"/>
      <c r="CB80" s="15" t="n"/>
      <c r="CC80" s="15" t="n"/>
      <c r="CD80" s="15" t="n"/>
      <c r="CE80" s="15" t="n"/>
      <c r="CF80" s="15" t="n"/>
      <c r="CG80" s="15" t="n"/>
      <c r="CH80" s="15" t="n"/>
      <c r="CI80" s="15" t="n"/>
      <c r="CJ80" s="15" t="n"/>
      <c r="CK80" s="15" t="n"/>
      <c r="CL80" s="15" t="n"/>
      <c r="CM80" s="15" t="n"/>
      <c r="CN80" s="15" t="n"/>
      <c r="CO80" s="15" t="n"/>
      <c r="CP80" s="15" t="n"/>
      <c r="CQ80" s="15" t="n"/>
      <c r="CR80" s="15" t="n"/>
      <c r="CS80" s="15" t="n"/>
      <c r="CT80" s="15" t="n"/>
      <c r="CU80" s="15" t="n"/>
      <c r="CV80" s="15" t="n"/>
      <c r="CW80" s="15" t="n"/>
      <c r="CX80" s="15" t="n"/>
      <c r="CY80" s="15" t="n"/>
      <c r="CZ80" s="15" t="n"/>
      <c r="DA80" s="15" t="n"/>
      <c r="DB80" s="15" t="n"/>
      <c r="DC80" s="15" t="n"/>
      <c r="DD80" s="15" t="n"/>
      <c r="DE80" s="15" t="n"/>
      <c r="DF80" s="15" t="n"/>
      <c r="DG80" s="15" t="n"/>
      <c r="DH80" s="15" t="n"/>
      <c r="DI80" s="15" t="n"/>
      <c r="DJ80" s="15" t="n"/>
      <c r="DK80" s="15" t="n"/>
      <c r="DL80" s="15" t="n"/>
    </row>
    <row r="81">
      <c r="A81" s="14" t="inlineStr">
        <is>
          <t>27(b)(ii)</t>
        </is>
      </c>
      <c r="B81" s="7" t="inlineStr">
        <is>
          <t>Further charge - without possession, not hypothecation</t>
        </is>
      </c>
      <c r="C81" s="15" t="n"/>
      <c r="D81" s="15" t="n"/>
      <c r="E81" s="15" t="n"/>
      <c r="F81" s="15" t="n"/>
      <c r="G81" s="15" t="n"/>
      <c r="H81" s="15" t="n"/>
      <c r="I81" s="15" t="n"/>
      <c r="J81" s="15" t="n"/>
      <c r="K81" s="15" t="n"/>
      <c r="L81" s="15" t="n"/>
      <c r="M81" s="15" t="n"/>
      <c r="N81" s="15" t="n"/>
      <c r="O81" s="15" t="n"/>
      <c r="P81" s="15" t="n"/>
      <c r="Q81" s="15" t="n"/>
      <c r="R81" s="15" t="n"/>
      <c r="S81" s="15" t="n"/>
      <c r="T81" s="15" t="n"/>
      <c r="U81" s="15" t="n"/>
      <c r="V81" s="15" t="n"/>
      <c r="W81" s="15" t="n"/>
      <c r="X81" s="15" t="n"/>
      <c r="Y81" s="15" t="n"/>
      <c r="Z81" s="15" t="n"/>
      <c r="AA81" s="15" t="n"/>
      <c r="AB81" s="15" t="n"/>
      <c r="AC81" s="15" t="n"/>
      <c r="AD81" s="15" t="n"/>
      <c r="AE81" s="15" t="n"/>
      <c r="AF81" s="15" t="n"/>
      <c r="AG81" s="15" t="n"/>
      <c r="AH81" s="15" t="n"/>
      <c r="AI81" s="19" t="inlineStr">
        <is>
          <t>C</t>
        </is>
      </c>
      <c r="AJ81" s="15" t="n"/>
      <c r="AK81" s="15" t="n"/>
      <c r="AL81" s="15" t="n"/>
      <c r="AM81" s="15" t="n"/>
      <c r="AN81" s="17" t="inlineStr">
        <is>
          <t>I</t>
        </is>
      </c>
      <c r="AO81" s="17" t="inlineStr">
        <is>
          <t>I</t>
        </is>
      </c>
      <c r="AP81" s="15" t="n"/>
      <c r="AQ81" s="15" t="n"/>
      <c r="AR81" s="15" t="n"/>
      <c r="AS81" s="15" t="n"/>
      <c r="AT81" s="15" t="n"/>
      <c r="AU81" s="15" t="n"/>
      <c r="AV81" s="15" t="n"/>
      <c r="AW81" s="15" t="n"/>
      <c r="AX81" s="15" t="n"/>
      <c r="AY81" s="15" t="n"/>
      <c r="AZ81" s="15" t="n"/>
      <c r="BA81" s="15" t="n"/>
      <c r="BB81" s="15" t="n"/>
      <c r="BC81" s="15" t="n"/>
      <c r="BD81" s="15" t="n"/>
      <c r="BE81" s="15" t="n"/>
      <c r="BF81" s="15" t="n"/>
      <c r="BG81" s="15" t="n"/>
      <c r="BH81" s="15" t="n"/>
      <c r="BI81" s="15" t="n"/>
      <c r="BJ81" s="15" t="n"/>
      <c r="BK81" s="15" t="n"/>
      <c r="BL81" s="15" t="n"/>
      <c r="BM81" s="15" t="n"/>
      <c r="BN81" s="15" t="n"/>
      <c r="BO81" s="15" t="n"/>
      <c r="BP81" s="15" t="n"/>
      <c r="BQ81" s="15" t="n"/>
      <c r="BR81" s="15" t="n"/>
      <c r="BS81" s="15" t="n"/>
      <c r="BT81" s="15" t="n"/>
      <c r="BU81" s="15" t="n"/>
      <c r="BV81" s="15" t="n"/>
      <c r="BW81" s="15" t="n"/>
      <c r="BX81" s="15" t="n"/>
      <c r="BY81" s="15" t="n"/>
      <c r="BZ81" s="15" t="n"/>
      <c r="CA81" s="15" t="n"/>
      <c r="CB81" s="15" t="n"/>
      <c r="CC81" s="15" t="n"/>
      <c r="CD81" s="15" t="n"/>
      <c r="CE81" s="15" t="n"/>
      <c r="CF81" s="15" t="n"/>
      <c r="CG81" s="15" t="n"/>
      <c r="CH81" s="15" t="n"/>
      <c r="CI81" s="15" t="n"/>
      <c r="CJ81" s="15" t="n"/>
      <c r="CK81" s="15" t="n"/>
      <c r="CL81" s="15" t="n"/>
      <c r="CM81" s="15" t="n"/>
      <c r="CN81" s="15" t="n"/>
      <c r="CO81" s="15" t="n"/>
      <c r="CP81" s="15" t="n"/>
      <c r="CQ81" s="15" t="n"/>
      <c r="CR81" s="15" t="n"/>
      <c r="CS81" s="15" t="n"/>
      <c r="CT81" s="15" t="n"/>
      <c r="CU81" s="15" t="n"/>
      <c r="CV81" s="15" t="n"/>
      <c r="CW81" s="15" t="n"/>
      <c r="CX81" s="15" t="n"/>
      <c r="CY81" s="15" t="n"/>
      <c r="CZ81" s="15" t="n"/>
      <c r="DA81" s="15" t="n"/>
      <c r="DB81" s="15" t="n"/>
      <c r="DC81" s="15" t="n"/>
      <c r="DD81" s="15" t="n"/>
      <c r="DE81" s="15" t="n"/>
      <c r="DF81" s="15" t="n"/>
      <c r="DG81" s="15" t="n"/>
      <c r="DH81" s="15" t="n"/>
      <c r="DI81" s="15" t="n"/>
      <c r="DJ81" s="15" t="n"/>
      <c r="DK81" s="15" t="n"/>
      <c r="DL81" s="15" t="n"/>
    </row>
    <row r="82">
      <c r="A82" s="14" t="inlineStr">
        <is>
          <t>27(b)(iii)</t>
        </is>
      </c>
      <c r="B82" s="7" t="inlineStr">
        <is>
          <t>Further charge - hypothecation</t>
        </is>
      </c>
      <c r="C82" s="15" t="n"/>
      <c r="D82" s="15" t="n"/>
      <c r="E82" s="15" t="n"/>
      <c r="F82" s="15" t="n"/>
      <c r="G82" s="15" t="n"/>
      <c r="H82" s="15" t="n"/>
      <c r="I82" s="15" t="n"/>
      <c r="J82" s="15" t="n"/>
      <c r="K82" s="15" t="n"/>
      <c r="L82" s="15" t="n"/>
      <c r="M82" s="15" t="n"/>
      <c r="N82" s="15" t="n"/>
      <c r="O82" s="15" t="n"/>
      <c r="P82" s="15" t="n"/>
      <c r="Q82" s="15" t="n"/>
      <c r="R82" s="15" t="n"/>
      <c r="S82" s="15" t="n"/>
      <c r="T82" s="15" t="n"/>
      <c r="U82" s="15" t="n"/>
      <c r="V82" s="15" t="n"/>
      <c r="W82" s="15" t="n"/>
      <c r="X82" s="15" t="n"/>
      <c r="Y82" s="15" t="n"/>
      <c r="Z82" s="15" t="n"/>
      <c r="AA82" s="15" t="n"/>
      <c r="AB82" s="15" t="n"/>
      <c r="AC82" s="15" t="n"/>
      <c r="AD82" s="15" t="n"/>
      <c r="AE82" s="15" t="n"/>
      <c r="AF82" s="15" t="n"/>
      <c r="AG82" s="15" t="n"/>
      <c r="AH82" s="15" t="n"/>
      <c r="AI82" s="19" t="inlineStr">
        <is>
          <t>C</t>
        </is>
      </c>
      <c r="AJ82" s="15" t="n"/>
      <c r="AK82" s="15" t="n"/>
      <c r="AL82" s="15" t="n"/>
      <c r="AM82" s="15" t="n"/>
      <c r="AN82" s="17" t="inlineStr">
        <is>
          <t>I</t>
        </is>
      </c>
      <c r="AO82" s="17" t="inlineStr">
        <is>
          <t>I</t>
        </is>
      </c>
      <c r="AP82" s="15" t="n"/>
      <c r="AQ82" s="15" t="n"/>
      <c r="AR82" s="15" t="n"/>
      <c r="AS82" s="15" t="n"/>
      <c r="AT82" s="15" t="n"/>
      <c r="AU82" s="15" t="n"/>
      <c r="AV82" s="15" t="n"/>
      <c r="AW82" s="15" t="n"/>
      <c r="AX82" s="15" t="n"/>
      <c r="AY82" s="15" t="n"/>
      <c r="AZ82" s="15" t="n"/>
      <c r="BA82" s="15" t="n"/>
      <c r="BB82" s="15" t="n"/>
      <c r="BC82" s="15" t="n"/>
      <c r="BD82" s="15" t="n"/>
      <c r="BE82" s="15" t="n"/>
      <c r="BF82" s="15" t="n"/>
      <c r="BG82" s="15" t="n"/>
      <c r="BH82" s="15" t="n"/>
      <c r="BI82" s="15" t="n"/>
      <c r="BJ82" s="15" t="n"/>
      <c r="BK82" s="15" t="n"/>
      <c r="BL82" s="15" t="n"/>
      <c r="BM82" s="15" t="n"/>
      <c r="BN82" s="15" t="n"/>
      <c r="BO82" s="15" t="n"/>
      <c r="BP82" s="15" t="n"/>
      <c r="BQ82" s="15" t="n"/>
      <c r="BR82" s="15" t="n"/>
      <c r="BS82" s="15" t="n"/>
      <c r="BT82" s="15" t="n"/>
      <c r="BU82" s="15" t="n"/>
      <c r="BV82" s="15" t="n"/>
      <c r="BW82" s="15" t="n"/>
      <c r="BX82" s="15" t="n"/>
      <c r="BY82" s="15" t="n"/>
      <c r="BZ82" s="15" t="n"/>
      <c r="CA82" s="15" t="n"/>
      <c r="CB82" s="15" t="n"/>
      <c r="CC82" s="15" t="n"/>
      <c r="CD82" s="15" t="n"/>
      <c r="CE82" s="15" t="n"/>
      <c r="CF82" s="15" t="n"/>
      <c r="CG82" s="15" t="n"/>
      <c r="CH82" s="15" t="n"/>
      <c r="CI82" s="15" t="n"/>
      <c r="CJ82" s="15" t="n"/>
      <c r="CK82" s="15" t="n"/>
      <c r="CL82" s="15" t="n"/>
      <c r="CM82" s="15" t="n"/>
      <c r="CN82" s="15" t="n"/>
      <c r="CO82" s="15" t="n"/>
      <c r="CP82" s="15" t="n"/>
      <c r="CQ82" s="15" t="n"/>
      <c r="CR82" s="15" t="n"/>
      <c r="CS82" s="15" t="n"/>
      <c r="CT82" s="15" t="n"/>
      <c r="CU82" s="15" t="n"/>
      <c r="CV82" s="15" t="n"/>
      <c r="CW82" s="15" t="n"/>
      <c r="CX82" s="15" t="n"/>
      <c r="CY82" s="15" t="n"/>
      <c r="CZ82" s="15" t="n"/>
      <c r="DA82" s="15" t="n"/>
      <c r="DB82" s="15" t="n"/>
      <c r="DC82" s="15" t="n"/>
      <c r="DD82" s="15" t="n"/>
      <c r="DE82" s="15" t="n"/>
      <c r="DF82" s="15" t="n"/>
      <c r="DG82" s="15" t="n"/>
      <c r="DH82" s="15" t="n"/>
      <c r="DI82" s="15" t="n"/>
      <c r="DJ82" s="15" t="n"/>
      <c r="DK82" s="15" t="n"/>
      <c r="DL82" s="15" t="n"/>
    </row>
    <row r="83">
      <c r="A83" s="14" t="inlineStr">
        <is>
          <t>28(a)</t>
        </is>
      </c>
      <c r="B83" s="7" t="inlineStr">
        <is>
          <t>Gift - donee not a family member</t>
        </is>
      </c>
      <c r="C83" s="15" t="n"/>
      <c r="D83" s="17" t="inlineStr">
        <is>
          <t>I</t>
        </is>
      </c>
      <c r="E83" s="15" t="n"/>
      <c r="F83" s="19" t="inlineStr">
        <is>
          <t>C</t>
        </is>
      </c>
      <c r="G83" s="15" t="n"/>
      <c r="H83" s="15" t="n"/>
      <c r="I83" s="15" t="n"/>
      <c r="J83" s="15" t="n"/>
      <c r="K83" s="19" t="inlineStr">
        <is>
          <t>C</t>
        </is>
      </c>
      <c r="L83" s="15" t="n"/>
      <c r="M83" s="15" t="n"/>
      <c r="N83" s="15" t="n"/>
      <c r="O83" s="15" t="n"/>
      <c r="P83" s="15" t="n"/>
      <c r="Q83" s="15" t="n"/>
      <c r="R83" s="15" t="n"/>
      <c r="S83" s="15" t="n"/>
      <c r="T83" s="15" t="n"/>
      <c r="U83" s="15" t="n"/>
      <c r="V83" s="15" t="n"/>
      <c r="W83" s="15" t="n"/>
      <c r="X83" s="15" t="n"/>
      <c r="Y83" s="15" t="n"/>
      <c r="Z83" s="15" t="n"/>
      <c r="AA83" s="15" t="n"/>
      <c r="AB83" s="15" t="n"/>
      <c r="AC83" s="15" t="n"/>
      <c r="AD83" s="15" t="n"/>
      <c r="AE83" s="15" t="n"/>
      <c r="AF83" s="15" t="n"/>
      <c r="AG83" s="15" t="n"/>
      <c r="AH83" s="15" t="n"/>
      <c r="AI83" s="15" t="n"/>
      <c r="AJ83" s="15" t="n"/>
      <c r="AK83" s="15" t="n"/>
      <c r="AL83" s="15" t="n"/>
      <c r="AM83" s="15" t="n"/>
      <c r="AN83" s="15" t="n"/>
      <c r="AO83" s="15" t="n"/>
      <c r="AP83" s="15" t="n"/>
      <c r="AQ83" s="15" t="n"/>
      <c r="AR83" s="15" t="n"/>
      <c r="AS83" s="15" t="n"/>
      <c r="AT83" s="15" t="n"/>
      <c r="AU83" s="15" t="n"/>
      <c r="AV83" s="15" t="n"/>
      <c r="AW83" s="15" t="n"/>
      <c r="AX83" s="15" t="n"/>
      <c r="AY83" s="15" t="n"/>
      <c r="AZ83" s="15" t="n"/>
      <c r="BA83" s="15" t="n"/>
      <c r="BB83" s="15" t="n"/>
      <c r="BC83" s="15" t="n"/>
      <c r="BD83" s="15" t="n"/>
      <c r="BE83" s="15" t="n"/>
      <c r="BF83" s="15" t="n"/>
      <c r="BG83" s="15" t="n"/>
      <c r="BH83" s="15" t="n"/>
      <c r="BI83" s="15" t="n"/>
      <c r="BJ83" s="15" t="n"/>
      <c r="BK83" s="15" t="n"/>
      <c r="BL83" s="15" t="n"/>
      <c r="BM83" s="15" t="n"/>
      <c r="BN83" s="15" t="n"/>
      <c r="BO83" s="15" t="n"/>
      <c r="BP83" s="15" t="n"/>
      <c r="BQ83" s="15" t="n"/>
      <c r="BR83" s="15" t="n"/>
      <c r="BS83" s="15" t="n"/>
      <c r="BT83" s="15" t="n"/>
      <c r="BU83" s="15" t="n"/>
      <c r="BV83" s="15" t="n"/>
      <c r="BW83" s="15" t="n"/>
      <c r="BX83" s="15" t="n"/>
      <c r="BY83" s="15" t="n"/>
      <c r="BZ83" s="15" t="n"/>
      <c r="CA83" s="15" t="n"/>
      <c r="CB83" s="15" t="n"/>
      <c r="CC83" s="15" t="n"/>
      <c r="CD83" s="15" t="n"/>
      <c r="CE83" s="15" t="n"/>
      <c r="CF83" s="15" t="n"/>
      <c r="CG83" s="15" t="n"/>
      <c r="CH83" s="15" t="n"/>
      <c r="CI83" s="15" t="n"/>
      <c r="CJ83" s="15" t="n"/>
      <c r="CK83" s="15" t="n"/>
      <c r="CL83" s="15" t="n"/>
      <c r="CM83" s="15" t="n"/>
      <c r="CN83" s="15" t="n"/>
      <c r="CO83" s="15" t="n"/>
      <c r="CP83" s="15" t="n"/>
      <c r="CQ83" s="19" t="inlineStr">
        <is>
          <t>C</t>
        </is>
      </c>
      <c r="CR83" s="15" t="n"/>
      <c r="CS83" s="15" t="n"/>
      <c r="CT83" s="15" t="n"/>
      <c r="CU83" s="15" t="n"/>
      <c r="CV83" s="15" t="n"/>
      <c r="CW83" s="15" t="n"/>
      <c r="CX83" s="15" t="n"/>
      <c r="CY83" s="15" t="n"/>
      <c r="CZ83" s="15" t="n"/>
      <c r="DA83" s="15" t="n"/>
      <c r="DB83" s="15" t="n"/>
      <c r="DC83" s="15" t="n"/>
      <c r="DD83" s="15" t="n"/>
      <c r="DE83" s="15" t="n"/>
      <c r="DF83" s="15" t="n"/>
      <c r="DG83" s="15" t="n"/>
      <c r="DH83" s="15" t="n"/>
      <c r="DI83" s="15" t="n"/>
      <c r="DJ83" s="15" t="n"/>
      <c r="DK83" s="15" t="n"/>
      <c r="DL83" s="15" t="n"/>
    </row>
    <row r="84">
      <c r="A84" s="14" t="inlineStr">
        <is>
          <t>28(b)</t>
        </is>
      </c>
      <c r="B84" s="7" t="inlineStr">
        <is>
          <t>Gift - donee is a family member</t>
        </is>
      </c>
      <c r="C84" s="15" t="n"/>
      <c r="D84" s="17" t="inlineStr">
        <is>
          <t>I</t>
        </is>
      </c>
      <c r="E84" s="15" t="n"/>
      <c r="F84" s="15" t="n"/>
      <c r="G84" s="15" t="n"/>
      <c r="H84" s="15" t="n"/>
      <c r="I84" s="15" t="n"/>
      <c r="J84" s="15" t="n"/>
      <c r="K84" s="19" t="inlineStr">
        <is>
          <t>C</t>
        </is>
      </c>
      <c r="L84" s="19" t="inlineStr">
        <is>
          <t>C</t>
        </is>
      </c>
      <c r="M84" s="15" t="n"/>
      <c r="N84" s="15" t="n"/>
      <c r="O84" s="15" t="n"/>
      <c r="P84" s="15" t="n"/>
      <c r="Q84" s="15" t="n"/>
      <c r="R84" s="15" t="n"/>
      <c r="S84" s="15" t="n"/>
      <c r="T84" s="15" t="n"/>
      <c r="U84" s="15" t="n"/>
      <c r="V84" s="15" t="n"/>
      <c r="W84" s="15" t="n"/>
      <c r="X84" s="15" t="n"/>
      <c r="Y84" s="15" t="n"/>
      <c r="Z84" s="15" t="n"/>
      <c r="AA84" s="15" t="n"/>
      <c r="AB84" s="15" t="n"/>
      <c r="AC84" s="15" t="n"/>
      <c r="AD84" s="15" t="n"/>
      <c r="AE84" s="15" t="n"/>
      <c r="AF84" s="15" t="n"/>
      <c r="AG84" s="15" t="n"/>
      <c r="AH84" s="15" t="n"/>
      <c r="AI84" s="15" t="n"/>
      <c r="AJ84" s="15" t="n"/>
      <c r="AK84" s="15" t="n"/>
      <c r="AL84" s="15" t="n"/>
      <c r="AM84" s="15" t="n"/>
      <c r="AN84" s="15" t="n"/>
      <c r="AO84" s="15" t="n"/>
      <c r="AP84" s="15" t="n"/>
      <c r="AQ84" s="15" t="n"/>
      <c r="AR84" s="15" t="n"/>
      <c r="AS84" s="15" t="n"/>
      <c r="AT84" s="15" t="n"/>
      <c r="AU84" s="15" t="n"/>
      <c r="AV84" s="15" t="n"/>
      <c r="AW84" s="15" t="n"/>
      <c r="AX84" s="15" t="n"/>
      <c r="AY84" s="15" t="n"/>
      <c r="AZ84" s="15" t="n"/>
      <c r="BA84" s="15" t="n"/>
      <c r="BB84" s="15" t="n"/>
      <c r="BC84" s="15" t="n"/>
      <c r="BD84" s="15" t="n"/>
      <c r="BE84" s="15" t="n"/>
      <c r="BF84" s="15" t="n"/>
      <c r="BG84" s="15" t="n"/>
      <c r="BH84" s="15" t="n"/>
      <c r="BI84" s="15" t="n"/>
      <c r="BJ84" s="15" t="n"/>
      <c r="BK84" s="15" t="n"/>
      <c r="BL84" s="15" t="n"/>
      <c r="BM84" s="15" t="n"/>
      <c r="BN84" s="15" t="n"/>
      <c r="BO84" s="15" t="n"/>
      <c r="BP84" s="15" t="n"/>
      <c r="BQ84" s="15" t="n"/>
      <c r="BR84" s="15" t="n"/>
      <c r="BS84" s="15" t="n"/>
      <c r="BT84" s="15" t="n"/>
      <c r="BU84" s="15" t="n"/>
      <c r="BV84" s="15" t="n"/>
      <c r="BW84" s="15" t="n"/>
      <c r="BX84" s="15" t="n"/>
      <c r="BY84" s="15" t="n"/>
      <c r="BZ84" s="15" t="n"/>
      <c r="CA84" s="15" t="n"/>
      <c r="CB84" s="15" t="n"/>
      <c r="CC84" s="15" t="n"/>
      <c r="CD84" s="15" t="n"/>
      <c r="CE84" s="15" t="n"/>
      <c r="CF84" s="15" t="n"/>
      <c r="CG84" s="15" t="n"/>
      <c r="CH84" s="15" t="n"/>
      <c r="CI84" s="15" t="n"/>
      <c r="CJ84" s="15" t="n"/>
      <c r="CK84" s="15" t="n"/>
      <c r="CL84" s="15" t="n"/>
      <c r="CM84" s="15" t="n"/>
      <c r="CN84" s="15" t="n"/>
      <c r="CO84" s="15" t="n"/>
      <c r="CP84" s="15" t="n"/>
      <c r="CQ84" s="15" t="n"/>
      <c r="CR84" s="15" t="n"/>
      <c r="CS84" s="15" t="n"/>
      <c r="CT84" s="15" t="n"/>
      <c r="CU84" s="15" t="n"/>
      <c r="CV84" s="15" t="n"/>
      <c r="CW84" s="15" t="n"/>
      <c r="CX84" s="15" t="n"/>
      <c r="CY84" s="15" t="n"/>
      <c r="CZ84" s="15" t="n"/>
      <c r="DA84" s="15" t="n"/>
      <c r="DB84" s="15" t="n"/>
      <c r="DC84" s="15" t="n"/>
      <c r="DD84" s="15" t="n"/>
      <c r="DE84" s="15" t="n"/>
      <c r="DF84" s="15" t="n"/>
      <c r="DG84" s="15" t="n"/>
      <c r="DH84" s="15" t="n"/>
      <c r="DI84" s="15" t="n"/>
      <c r="DJ84" s="15" t="n"/>
      <c r="DK84" s="15" t="n"/>
      <c r="DL84" s="15" t="n"/>
    </row>
    <row r="85">
      <c r="A85" s="14" t="inlineStr">
        <is>
          <t>29</t>
        </is>
      </c>
      <c r="B85" s="7" t="inlineStr">
        <is>
          <t>Indemnity bond</t>
        </is>
      </c>
      <c r="C85" s="15" t="n"/>
      <c r="D85" s="15" t="n"/>
      <c r="E85" s="15" t="n"/>
      <c r="F85" s="15" t="n"/>
      <c r="G85" s="15" t="n"/>
      <c r="H85" s="15" t="n"/>
      <c r="I85" s="15" t="n"/>
      <c r="J85" s="15" t="n"/>
      <c r="K85" s="15" t="n"/>
      <c r="L85" s="15" t="n"/>
      <c r="M85" s="15" t="n"/>
      <c r="N85" s="15" t="n"/>
      <c r="O85" s="15" t="n"/>
      <c r="P85" s="15" t="n"/>
      <c r="Q85" s="15" t="n"/>
      <c r="R85" s="15" t="n"/>
      <c r="S85" s="15" t="n"/>
      <c r="T85" s="15" t="n"/>
      <c r="U85" s="15" t="n"/>
      <c r="V85" s="15" t="n"/>
      <c r="W85" s="15" t="n"/>
      <c r="X85" s="15" t="n"/>
      <c r="Y85" s="15" t="n"/>
      <c r="Z85" s="15" t="n"/>
      <c r="AA85" s="15" t="n"/>
      <c r="AB85" s="15" t="n"/>
      <c r="AC85" s="15" t="n"/>
      <c r="AD85" s="15" t="n"/>
      <c r="AE85" s="15" t="n"/>
      <c r="AF85" s="15" t="n"/>
      <c r="AG85" s="15" t="n"/>
      <c r="AH85" s="15" t="n"/>
      <c r="AI85" s="15" t="n"/>
      <c r="AJ85" s="15" t="n"/>
      <c r="AK85" s="15" t="n"/>
      <c r="AL85" s="15" t="n"/>
      <c r="AM85" s="15" t="n"/>
      <c r="AN85" s="15" t="n"/>
      <c r="AO85" s="15" t="n"/>
      <c r="AP85" s="15" t="n"/>
      <c r="AQ85" s="15" t="n"/>
      <c r="AR85" s="15" t="n"/>
      <c r="AS85" s="15" t="n"/>
      <c r="AT85" s="15" t="n"/>
      <c r="AU85" s="15" t="n"/>
      <c r="AV85" s="15" t="n"/>
      <c r="AW85" s="15" t="n"/>
      <c r="AX85" s="15" t="n"/>
      <c r="AY85" s="15" t="n"/>
      <c r="AZ85" s="15" t="n"/>
      <c r="BA85" s="15" t="n"/>
      <c r="BB85" s="15" t="n"/>
      <c r="BC85" s="15" t="n"/>
      <c r="BD85" s="15" t="n"/>
      <c r="BE85" s="15" t="n"/>
      <c r="BF85" s="15" t="n"/>
      <c r="BG85" s="15" t="n"/>
      <c r="BH85" s="15" t="n"/>
      <c r="BI85" s="15" t="n"/>
      <c r="BJ85" s="15" t="n"/>
      <c r="BK85" s="15" t="n"/>
      <c r="BL85" s="15" t="n"/>
      <c r="BM85" s="15" t="n"/>
      <c r="BN85" s="15" t="n"/>
      <c r="BO85" s="15" t="n"/>
      <c r="BP85" s="15" t="n"/>
      <c r="BQ85" s="15" t="n"/>
      <c r="BR85" s="15" t="n"/>
      <c r="BS85" s="15" t="n"/>
      <c r="BT85" s="15" t="n"/>
      <c r="BU85" s="15" t="n"/>
      <c r="BV85" s="15" t="n"/>
      <c r="BW85" s="15" t="n"/>
      <c r="BX85" s="15" t="n"/>
      <c r="BY85" s="15" t="n"/>
      <c r="BZ85" s="15" t="n"/>
      <c r="CA85" s="15" t="n"/>
      <c r="CB85" s="15" t="n"/>
      <c r="CC85" s="15" t="n"/>
      <c r="CD85" s="15" t="n"/>
      <c r="CE85" s="15" t="n"/>
      <c r="CF85" s="15" t="n"/>
      <c r="CG85" s="15" t="n"/>
      <c r="CH85" s="15" t="n"/>
      <c r="CI85" s="15" t="n"/>
      <c r="CJ85" s="15" t="n"/>
      <c r="CK85" s="15" t="n"/>
      <c r="CL85" s="15" t="n"/>
      <c r="CM85" s="15" t="n"/>
      <c r="CN85" s="15" t="n"/>
      <c r="CO85" s="15" t="n"/>
      <c r="CP85" s="15" t="n"/>
      <c r="CQ85" s="15" t="n"/>
      <c r="CR85" s="15" t="n"/>
      <c r="CS85" s="15" t="n"/>
      <c r="CT85" s="15" t="n"/>
      <c r="CU85" s="15" t="n"/>
      <c r="CV85" s="15" t="n"/>
      <c r="CW85" s="15" t="n"/>
      <c r="CX85" s="15" t="n"/>
      <c r="CY85" s="19" t="inlineStr">
        <is>
          <t>C</t>
        </is>
      </c>
      <c r="CZ85" s="15" t="n"/>
      <c r="DA85" s="15" t="n"/>
      <c r="DB85" s="15" t="n"/>
      <c r="DC85" s="15" t="n"/>
      <c r="DD85" s="15" t="n"/>
      <c r="DE85" s="15" t="n"/>
      <c r="DF85" s="15" t="n"/>
      <c r="DG85" s="15" t="n"/>
      <c r="DH85" s="15" t="n"/>
      <c r="DI85" s="15" t="n"/>
      <c r="DJ85" s="15" t="n"/>
      <c r="DK85" s="15" t="n"/>
      <c r="DL85" s="15" t="n"/>
    </row>
    <row r="86">
      <c r="A86" s="14" t="inlineStr">
        <is>
          <t>30(1)(i)</t>
        </is>
      </c>
      <c r="B86" s="7" t="inlineStr">
        <is>
          <t>Lease of immovable - up to 1 year, residential</t>
        </is>
      </c>
      <c r="C86" s="15" t="n"/>
      <c r="D86" s="17" t="inlineStr">
        <is>
          <t>I</t>
        </is>
      </c>
      <c r="E86" s="15" t="n"/>
      <c r="F86" s="15" t="n"/>
      <c r="G86" s="15" t="n"/>
      <c r="H86" s="15" t="n"/>
      <c r="I86" s="15" t="n"/>
      <c r="J86" s="17" t="inlineStr">
        <is>
          <t>I</t>
        </is>
      </c>
      <c r="K86" s="15" t="n"/>
      <c r="L86" s="15" t="n"/>
      <c r="M86" s="17" t="inlineStr">
        <is>
          <t>I</t>
        </is>
      </c>
      <c r="N86" s="15" t="n"/>
      <c r="O86" s="15" t="n"/>
      <c r="P86" s="15" t="n"/>
      <c r="Q86" s="15" t="n"/>
      <c r="R86" s="15" t="n"/>
      <c r="S86" s="15" t="n"/>
      <c r="T86" s="15" t="n"/>
      <c r="U86" s="15" t="n"/>
      <c r="V86" s="15" t="n"/>
      <c r="W86" s="15" t="n"/>
      <c r="X86" s="15" t="n"/>
      <c r="Y86" s="15" t="n"/>
      <c r="Z86" s="15" t="n"/>
      <c r="AA86" s="15" t="n"/>
      <c r="AB86" s="15" t="n"/>
      <c r="AC86" s="15" t="n"/>
      <c r="AD86" s="15" t="n"/>
      <c r="AE86" s="15" t="n"/>
      <c r="AF86" s="15" t="n"/>
      <c r="AG86" s="15" t="n"/>
      <c r="AH86" s="15" t="n"/>
      <c r="AI86" s="15" t="n"/>
      <c r="AJ86" s="15" t="n"/>
      <c r="AK86" s="15" t="n"/>
      <c r="AL86" s="15" t="n"/>
      <c r="AM86" s="15" t="n"/>
      <c r="AN86" s="15" t="n"/>
      <c r="AO86" s="15" t="n"/>
      <c r="AP86" s="15" t="n"/>
      <c r="AQ86" s="15" t="n"/>
      <c r="AR86" s="15" t="n"/>
      <c r="AS86" s="15" t="n"/>
      <c r="AT86" s="15" t="n"/>
      <c r="AU86" s="15" t="n"/>
      <c r="AV86" s="15" t="n"/>
      <c r="AW86" s="17" t="inlineStr">
        <is>
          <t>I</t>
        </is>
      </c>
      <c r="AX86" s="17" t="inlineStr">
        <is>
          <t>I</t>
        </is>
      </c>
      <c r="AY86" s="19" t="inlineStr">
        <is>
          <t>C</t>
        </is>
      </c>
      <c r="AZ86" s="19" t="inlineStr">
        <is>
          <t>C</t>
        </is>
      </c>
      <c r="BA86" s="19" t="inlineStr">
        <is>
          <t>C</t>
        </is>
      </c>
      <c r="BB86" s="18" t="inlineStr">
        <is>
          <t>E</t>
        </is>
      </c>
      <c r="BC86" s="15" t="n"/>
      <c r="BD86" s="15" t="n"/>
      <c r="BE86" s="15" t="n"/>
      <c r="BF86" s="15" t="n"/>
      <c r="BG86" s="15" t="n"/>
      <c r="BH86" s="15" t="n"/>
      <c r="BI86" s="15" t="n"/>
      <c r="BJ86" s="15" t="n"/>
      <c r="BK86" s="15" t="n"/>
      <c r="BL86" s="15" t="n"/>
      <c r="BM86" s="15" t="n"/>
      <c r="BN86" s="15" t="n"/>
      <c r="BO86" s="15" t="n"/>
      <c r="BP86" s="15" t="n"/>
      <c r="BQ86" s="15" t="n"/>
      <c r="BR86" s="15" t="n"/>
      <c r="BS86" s="15" t="n"/>
      <c r="BT86" s="15" t="n"/>
      <c r="BU86" s="15" t="n"/>
      <c r="BV86" s="15" t="n"/>
      <c r="BW86" s="15" t="n"/>
      <c r="BX86" s="15" t="n"/>
      <c r="BY86" s="15" t="n"/>
      <c r="BZ86" s="15" t="n"/>
      <c r="CA86" s="15" t="n"/>
      <c r="CB86" s="15" t="n"/>
      <c r="CC86" s="15" t="n"/>
      <c r="CD86" s="15" t="n"/>
      <c r="CE86" s="15" t="n"/>
      <c r="CF86" s="15" t="n"/>
      <c r="CG86" s="15" t="n"/>
      <c r="CH86" s="15" t="n"/>
      <c r="CI86" s="15" t="n"/>
      <c r="CJ86" s="15" t="n"/>
      <c r="CK86" s="15" t="n"/>
      <c r="CL86" s="15" t="n"/>
      <c r="CM86" s="15" t="n"/>
      <c r="CN86" s="15" t="n"/>
      <c r="CO86" s="15" t="n"/>
      <c r="CP86" s="15" t="n"/>
      <c r="CQ86" s="15" t="n"/>
      <c r="CR86" s="15" t="n"/>
      <c r="CS86" s="15" t="n"/>
      <c r="CT86" s="15" t="n"/>
      <c r="CU86" s="15" t="n"/>
      <c r="CV86" s="15" t="n"/>
      <c r="CW86" s="15" t="n"/>
      <c r="CX86" s="15" t="n"/>
      <c r="CY86" s="15" t="n"/>
      <c r="CZ86" s="15" t="n"/>
      <c r="DA86" s="15" t="n"/>
      <c r="DB86" s="15" t="n"/>
      <c r="DC86" s="15" t="n"/>
      <c r="DD86" s="15" t="n"/>
      <c r="DE86" s="15" t="n"/>
      <c r="DF86" s="15" t="n"/>
      <c r="DG86" s="15" t="n"/>
      <c r="DH86" s="15" t="n"/>
      <c r="DI86" s="15" t="n"/>
      <c r="DJ86" s="15" t="n"/>
      <c r="DK86" s="15" t="n"/>
      <c r="DL86" s="15" t="n"/>
    </row>
    <row r="87">
      <c r="A87" s="14" t="inlineStr">
        <is>
          <t>30(1)(ii)</t>
        </is>
      </c>
      <c r="B87" s="7" t="inlineStr">
        <is>
          <t>Lease of immovable - up to 1 year, commercial / industrial</t>
        </is>
      </c>
      <c r="C87" s="15" t="n"/>
      <c r="D87" s="17" t="inlineStr">
        <is>
          <t>I</t>
        </is>
      </c>
      <c r="E87" s="15" t="n"/>
      <c r="F87" s="15" t="n"/>
      <c r="G87" s="15" t="n"/>
      <c r="H87" s="15" t="n"/>
      <c r="I87" s="15" t="n"/>
      <c r="J87" s="17" t="inlineStr">
        <is>
          <t>I</t>
        </is>
      </c>
      <c r="K87" s="15" t="n"/>
      <c r="L87" s="15" t="n"/>
      <c r="M87" s="17" t="inlineStr">
        <is>
          <t>I</t>
        </is>
      </c>
      <c r="N87" s="15" t="n"/>
      <c r="O87" s="15" t="n"/>
      <c r="P87" s="15" t="n"/>
      <c r="Q87" s="15" t="n"/>
      <c r="R87" s="15" t="n"/>
      <c r="S87" s="15" t="n"/>
      <c r="T87" s="15" t="n"/>
      <c r="U87" s="15" t="n"/>
      <c r="V87" s="15" t="n"/>
      <c r="W87" s="15" t="n"/>
      <c r="X87" s="15" t="n"/>
      <c r="Y87" s="15" t="n"/>
      <c r="Z87" s="15" t="n"/>
      <c r="AA87" s="15" t="n"/>
      <c r="AB87" s="15" t="n"/>
      <c r="AC87" s="15" t="n"/>
      <c r="AD87" s="15" t="n"/>
      <c r="AE87" s="15" t="n"/>
      <c r="AF87" s="15" t="n"/>
      <c r="AG87" s="15" t="n"/>
      <c r="AH87" s="15" t="n"/>
      <c r="AI87" s="15" t="n"/>
      <c r="AJ87" s="15" t="n"/>
      <c r="AK87" s="15" t="n"/>
      <c r="AL87" s="15" t="n"/>
      <c r="AM87" s="15" t="n"/>
      <c r="AN87" s="15" t="n"/>
      <c r="AO87" s="15" t="n"/>
      <c r="AP87" s="15" t="n"/>
      <c r="AQ87" s="15" t="n"/>
      <c r="AR87" s="15" t="n"/>
      <c r="AS87" s="15" t="n"/>
      <c r="AT87" s="15" t="n"/>
      <c r="AU87" s="15" t="n"/>
      <c r="AV87" s="15" t="n"/>
      <c r="AW87" s="17" t="inlineStr">
        <is>
          <t>I</t>
        </is>
      </c>
      <c r="AX87" s="17" t="inlineStr">
        <is>
          <t>I</t>
        </is>
      </c>
      <c r="AY87" s="19" t="inlineStr">
        <is>
          <t>C</t>
        </is>
      </c>
      <c r="AZ87" s="19" t="inlineStr">
        <is>
          <t>C</t>
        </is>
      </c>
      <c r="BA87" s="19" t="inlineStr">
        <is>
          <t>C</t>
        </is>
      </c>
      <c r="BB87" s="18" t="inlineStr">
        <is>
          <t>E</t>
        </is>
      </c>
      <c r="BC87" s="15" t="n"/>
      <c r="BD87" s="15" t="n"/>
      <c r="BE87" s="15" t="n"/>
      <c r="BF87" s="15" t="n"/>
      <c r="BG87" s="15" t="n"/>
      <c r="BH87" s="15" t="n"/>
      <c r="BI87" s="15" t="n"/>
      <c r="BJ87" s="15" t="n"/>
      <c r="BK87" s="15" t="n"/>
      <c r="BL87" s="15" t="n"/>
      <c r="BM87" s="15" t="n"/>
      <c r="BN87" s="15" t="n"/>
      <c r="BO87" s="15" t="n"/>
      <c r="BP87" s="15" t="n"/>
      <c r="BQ87" s="15" t="n"/>
      <c r="BR87" s="15" t="n"/>
      <c r="BS87" s="15" t="n"/>
      <c r="BT87" s="15" t="n"/>
      <c r="BU87" s="15" t="n"/>
      <c r="BV87" s="15" t="n"/>
      <c r="BW87" s="15" t="n"/>
      <c r="BX87" s="15" t="n"/>
      <c r="BY87" s="15" t="n"/>
      <c r="BZ87" s="15" t="n"/>
      <c r="CA87" s="15" t="n"/>
      <c r="CB87" s="15" t="n"/>
      <c r="CC87" s="15" t="n"/>
      <c r="CD87" s="15" t="n"/>
      <c r="CE87" s="15" t="n"/>
      <c r="CF87" s="15" t="n"/>
      <c r="CG87" s="15" t="n"/>
      <c r="CH87" s="15" t="n"/>
      <c r="CI87" s="15" t="n"/>
      <c r="CJ87" s="15" t="n"/>
      <c r="CK87" s="15" t="n"/>
      <c r="CL87" s="15" t="n"/>
      <c r="CM87" s="15" t="n"/>
      <c r="CN87" s="15" t="n"/>
      <c r="CO87" s="15" t="n"/>
      <c r="CP87" s="15" t="n"/>
      <c r="CQ87" s="15" t="n"/>
      <c r="CR87" s="15" t="n"/>
      <c r="CS87" s="15" t="n"/>
      <c r="CT87" s="15" t="n"/>
      <c r="CU87" s="15" t="n"/>
      <c r="CV87" s="15" t="n"/>
      <c r="CW87" s="15" t="n"/>
      <c r="CX87" s="15" t="n"/>
      <c r="CY87" s="15" t="n"/>
      <c r="CZ87" s="15" t="n"/>
      <c r="DA87" s="15" t="n"/>
      <c r="DB87" s="15" t="n"/>
      <c r="DC87" s="15" t="n"/>
      <c r="DD87" s="15" t="n"/>
      <c r="DE87" s="15" t="n"/>
      <c r="DF87" s="15" t="n"/>
      <c r="DG87" s="15" t="n"/>
      <c r="DH87" s="15" t="n"/>
      <c r="DI87" s="15" t="n"/>
      <c r="DJ87" s="15" t="n"/>
      <c r="DK87" s="15" t="n"/>
      <c r="DL87" s="15" t="n"/>
    </row>
    <row r="88">
      <c r="A88" s="14" t="inlineStr">
        <is>
          <t>30(1)(iii)</t>
        </is>
      </c>
      <c r="B88" s="7" t="inlineStr">
        <is>
          <t>Lease of immovable - &gt;1 to 10 years</t>
        </is>
      </c>
      <c r="C88" s="15" t="n"/>
      <c r="D88" s="17" t="inlineStr">
        <is>
          <t>I</t>
        </is>
      </c>
      <c r="E88" s="15" t="n"/>
      <c r="F88" s="15" t="n"/>
      <c r="G88" s="15" t="n"/>
      <c r="H88" s="15" t="n"/>
      <c r="I88" s="15" t="n"/>
      <c r="J88" s="17" t="inlineStr">
        <is>
          <t>I</t>
        </is>
      </c>
      <c r="K88" s="15" t="n"/>
      <c r="L88" s="15" t="n"/>
      <c r="M88" s="15" t="n"/>
      <c r="N88" s="15" t="n"/>
      <c r="O88" s="15" t="n"/>
      <c r="P88" s="15" t="n"/>
      <c r="Q88" s="15" t="n"/>
      <c r="R88" s="15" t="n"/>
      <c r="S88" s="15" t="n"/>
      <c r="T88" s="15" t="n"/>
      <c r="U88" s="15" t="n"/>
      <c r="V88" s="15" t="n"/>
      <c r="W88" s="15" t="n"/>
      <c r="X88" s="15" t="n"/>
      <c r="Y88" s="15" t="n"/>
      <c r="Z88" s="15" t="n"/>
      <c r="AA88" s="15" t="n"/>
      <c r="AB88" s="15" t="n"/>
      <c r="AC88" s="15" t="n"/>
      <c r="AD88" s="15" t="n"/>
      <c r="AE88" s="15" t="n"/>
      <c r="AF88" s="15" t="n"/>
      <c r="AG88" s="15" t="n"/>
      <c r="AH88" s="15" t="n"/>
      <c r="AI88" s="15" t="n"/>
      <c r="AJ88" s="15" t="n"/>
      <c r="AK88" s="15" t="n"/>
      <c r="AL88" s="15" t="n"/>
      <c r="AM88" s="15" t="n"/>
      <c r="AN88" s="15" t="n"/>
      <c r="AO88" s="15" t="n"/>
      <c r="AP88" s="15" t="n"/>
      <c r="AQ88" s="15" t="n"/>
      <c r="AR88" s="15" t="n"/>
      <c r="AS88" s="15" t="n"/>
      <c r="AT88" s="15" t="n"/>
      <c r="AU88" s="15" t="n"/>
      <c r="AV88" s="15" t="n"/>
      <c r="AW88" s="17" t="inlineStr">
        <is>
          <t>I</t>
        </is>
      </c>
      <c r="AX88" s="17" t="inlineStr">
        <is>
          <t>I</t>
        </is>
      </c>
      <c r="AY88" s="19" t="inlineStr">
        <is>
          <t>C</t>
        </is>
      </c>
      <c r="AZ88" s="19" t="inlineStr">
        <is>
          <t>C</t>
        </is>
      </c>
      <c r="BA88" s="19" t="inlineStr">
        <is>
          <t>C</t>
        </is>
      </c>
      <c r="BB88" s="18" t="inlineStr">
        <is>
          <t>E</t>
        </is>
      </c>
      <c r="BC88" s="15" t="n"/>
      <c r="BD88" s="15" t="n"/>
      <c r="BE88" s="15" t="n"/>
      <c r="BF88" s="15" t="n"/>
      <c r="BG88" s="15" t="n"/>
      <c r="BH88" s="15" t="n"/>
      <c r="BI88" s="15" t="n"/>
      <c r="BJ88" s="15" t="n"/>
      <c r="BK88" s="15" t="n"/>
      <c r="BL88" s="15" t="n"/>
      <c r="BM88" s="15" t="n"/>
      <c r="BN88" s="15" t="n"/>
      <c r="BO88" s="15" t="n"/>
      <c r="BP88" s="15" t="n"/>
      <c r="BQ88" s="15" t="n"/>
      <c r="BR88" s="15" t="n"/>
      <c r="BS88" s="15" t="n"/>
      <c r="BT88" s="15" t="n"/>
      <c r="BU88" s="15" t="n"/>
      <c r="BV88" s="15" t="n"/>
      <c r="BW88" s="15" t="n"/>
      <c r="BX88" s="15" t="n"/>
      <c r="BY88" s="15" t="n"/>
      <c r="BZ88" s="15" t="n"/>
      <c r="CA88" s="15" t="n"/>
      <c r="CB88" s="15" t="n"/>
      <c r="CC88" s="15" t="n"/>
      <c r="CD88" s="15" t="n"/>
      <c r="CE88" s="15" t="n"/>
      <c r="CF88" s="15" t="n"/>
      <c r="CG88" s="15" t="n"/>
      <c r="CH88" s="15" t="n"/>
      <c r="CI88" s="15" t="n"/>
      <c r="CJ88" s="15" t="n"/>
      <c r="CK88" s="15" t="n"/>
      <c r="CL88" s="15" t="n"/>
      <c r="CM88" s="15" t="n"/>
      <c r="CN88" s="15" t="n"/>
      <c r="CO88" s="15" t="n"/>
      <c r="CP88" s="15" t="n"/>
      <c r="CQ88" s="15" t="n"/>
      <c r="CR88" s="15" t="n"/>
      <c r="CS88" s="15" t="n"/>
      <c r="CT88" s="15" t="n"/>
      <c r="CU88" s="15" t="n"/>
      <c r="CV88" s="15" t="n"/>
      <c r="CW88" s="15" t="n"/>
      <c r="CX88" s="15" t="n"/>
      <c r="CY88" s="15" t="n"/>
      <c r="CZ88" s="15" t="n"/>
      <c r="DA88" s="15" t="n"/>
      <c r="DB88" s="15" t="n"/>
      <c r="DC88" s="15" t="n"/>
      <c r="DD88" s="15" t="n"/>
      <c r="DE88" s="15" t="n"/>
      <c r="DF88" s="15" t="n"/>
      <c r="DG88" s="15" t="n"/>
      <c r="DH88" s="15" t="n"/>
      <c r="DI88" s="15" t="n"/>
      <c r="DJ88" s="15" t="n"/>
      <c r="DK88" s="15" t="n"/>
      <c r="DL88" s="15" t="n"/>
    </row>
    <row r="89">
      <c r="A89" s="14" t="inlineStr">
        <is>
          <t>30(1)(iv)</t>
        </is>
      </c>
      <c r="B89" s="7" t="inlineStr">
        <is>
          <t>Lease of immovable - &gt;10 to 20 years</t>
        </is>
      </c>
      <c r="C89" s="15" t="n"/>
      <c r="D89" s="17" t="inlineStr">
        <is>
          <t>I</t>
        </is>
      </c>
      <c r="E89" s="15" t="n"/>
      <c r="F89" s="15" t="n"/>
      <c r="G89" s="15" t="n"/>
      <c r="H89" s="15" t="n"/>
      <c r="I89" s="15" t="n"/>
      <c r="J89" s="17" t="inlineStr">
        <is>
          <t>I</t>
        </is>
      </c>
      <c r="K89" s="15" t="n"/>
      <c r="L89" s="15" t="n"/>
      <c r="M89" s="15" t="n"/>
      <c r="N89" s="15" t="n"/>
      <c r="O89" s="15" t="n"/>
      <c r="P89" s="15" t="n"/>
      <c r="Q89" s="15" t="n"/>
      <c r="R89" s="15" t="n"/>
      <c r="S89" s="15" t="n"/>
      <c r="T89" s="15" t="n"/>
      <c r="U89" s="15" t="n"/>
      <c r="V89" s="15" t="n"/>
      <c r="W89" s="15" t="n"/>
      <c r="X89" s="15" t="n"/>
      <c r="Y89" s="15" t="n"/>
      <c r="Z89" s="15" t="n"/>
      <c r="AA89" s="15" t="n"/>
      <c r="AB89" s="15" t="n"/>
      <c r="AC89" s="15" t="n"/>
      <c r="AD89" s="15" t="n"/>
      <c r="AE89" s="15" t="n"/>
      <c r="AF89" s="15" t="n"/>
      <c r="AG89" s="15" t="n"/>
      <c r="AH89" s="15" t="n"/>
      <c r="AI89" s="15" t="n"/>
      <c r="AJ89" s="15" t="n"/>
      <c r="AK89" s="15" t="n"/>
      <c r="AL89" s="15" t="n"/>
      <c r="AM89" s="15" t="n"/>
      <c r="AN89" s="15" t="n"/>
      <c r="AO89" s="15" t="n"/>
      <c r="AP89" s="15" t="n"/>
      <c r="AQ89" s="15" t="n"/>
      <c r="AR89" s="15" t="n"/>
      <c r="AS89" s="15" t="n"/>
      <c r="AT89" s="15" t="n"/>
      <c r="AU89" s="15" t="n"/>
      <c r="AV89" s="15" t="n"/>
      <c r="AW89" s="17" t="inlineStr">
        <is>
          <t>I</t>
        </is>
      </c>
      <c r="AX89" s="17" t="inlineStr">
        <is>
          <t>I</t>
        </is>
      </c>
      <c r="AY89" s="19" t="inlineStr">
        <is>
          <t>C</t>
        </is>
      </c>
      <c r="AZ89" s="19" t="inlineStr">
        <is>
          <t>C</t>
        </is>
      </c>
      <c r="BA89" s="19" t="inlineStr">
        <is>
          <t>C</t>
        </is>
      </c>
      <c r="BB89" s="18" t="inlineStr">
        <is>
          <t>E</t>
        </is>
      </c>
      <c r="BC89" s="15" t="n"/>
      <c r="BD89" s="15" t="n"/>
      <c r="BE89" s="15" t="n"/>
      <c r="BF89" s="15" t="n"/>
      <c r="BG89" s="15" t="n"/>
      <c r="BH89" s="15" t="n"/>
      <c r="BI89" s="15" t="n"/>
      <c r="BJ89" s="15" t="n"/>
      <c r="BK89" s="15" t="n"/>
      <c r="BL89" s="15" t="n"/>
      <c r="BM89" s="15" t="n"/>
      <c r="BN89" s="15" t="n"/>
      <c r="BO89" s="15" t="n"/>
      <c r="BP89" s="15" t="n"/>
      <c r="BQ89" s="15" t="n"/>
      <c r="BR89" s="15" t="n"/>
      <c r="BS89" s="15" t="n"/>
      <c r="BT89" s="15" t="n"/>
      <c r="BU89" s="15" t="n"/>
      <c r="BV89" s="15" t="n"/>
      <c r="BW89" s="15" t="n"/>
      <c r="BX89" s="15" t="n"/>
      <c r="BY89" s="15" t="n"/>
      <c r="BZ89" s="15" t="n"/>
      <c r="CA89" s="15" t="n"/>
      <c r="CB89" s="15" t="n"/>
      <c r="CC89" s="15" t="n"/>
      <c r="CD89" s="15" t="n"/>
      <c r="CE89" s="15" t="n"/>
      <c r="CF89" s="15" t="n"/>
      <c r="CG89" s="15" t="n"/>
      <c r="CH89" s="15" t="n"/>
      <c r="CI89" s="15" t="n"/>
      <c r="CJ89" s="15" t="n"/>
      <c r="CK89" s="15" t="n"/>
      <c r="CL89" s="15" t="n"/>
      <c r="CM89" s="15" t="n"/>
      <c r="CN89" s="15" t="n"/>
      <c r="CO89" s="15" t="n"/>
      <c r="CP89" s="15" t="n"/>
      <c r="CQ89" s="15" t="n"/>
      <c r="CR89" s="15" t="n"/>
      <c r="CS89" s="15" t="n"/>
      <c r="CT89" s="15" t="n"/>
      <c r="CU89" s="15" t="n"/>
      <c r="CV89" s="15" t="n"/>
      <c r="CW89" s="15" t="n"/>
      <c r="CX89" s="15" t="n"/>
      <c r="CY89" s="15" t="n"/>
      <c r="CZ89" s="15" t="n"/>
      <c r="DA89" s="15" t="n"/>
      <c r="DB89" s="15" t="n"/>
      <c r="DC89" s="15" t="n"/>
      <c r="DD89" s="15" t="n"/>
      <c r="DE89" s="15" t="n"/>
      <c r="DF89" s="15" t="n"/>
      <c r="DG89" s="15" t="n"/>
      <c r="DH89" s="15" t="n"/>
      <c r="DI89" s="15" t="n"/>
      <c r="DJ89" s="15" t="n"/>
      <c r="DK89" s="15" t="n"/>
      <c r="DL89" s="15" t="n"/>
    </row>
    <row r="90">
      <c r="A90" s="14" t="inlineStr">
        <is>
          <t>30(1)(v)</t>
        </is>
      </c>
      <c r="B90" s="7" t="inlineStr">
        <is>
          <t>Lease of immovable - &gt;20 to 30 years</t>
        </is>
      </c>
      <c r="C90" s="15" t="n"/>
      <c r="D90" s="17" t="inlineStr">
        <is>
          <t>I</t>
        </is>
      </c>
      <c r="E90" s="15" t="n"/>
      <c r="F90" s="15" t="n"/>
      <c r="G90" s="15" t="n"/>
      <c r="H90" s="15" t="n"/>
      <c r="I90" s="15" t="n"/>
      <c r="J90" s="17" t="inlineStr">
        <is>
          <t>I</t>
        </is>
      </c>
      <c r="K90" s="15" t="n"/>
      <c r="L90" s="15" t="n"/>
      <c r="M90" s="15" t="n"/>
      <c r="N90" s="15" t="n"/>
      <c r="O90" s="15" t="n"/>
      <c r="P90" s="15" t="n"/>
      <c r="Q90" s="15" t="n"/>
      <c r="R90" s="15" t="n"/>
      <c r="S90" s="15" t="n"/>
      <c r="T90" s="15" t="n"/>
      <c r="U90" s="15" t="n"/>
      <c r="V90" s="15" t="n"/>
      <c r="W90" s="15" t="n"/>
      <c r="X90" s="15" t="n"/>
      <c r="Y90" s="15" t="n"/>
      <c r="Z90" s="15" t="n"/>
      <c r="AA90" s="15" t="n"/>
      <c r="AB90" s="15" t="n"/>
      <c r="AC90" s="15" t="n"/>
      <c r="AD90" s="15" t="n"/>
      <c r="AE90" s="15" t="n"/>
      <c r="AF90" s="15" t="n"/>
      <c r="AG90" s="15" t="n"/>
      <c r="AH90" s="15" t="n"/>
      <c r="AI90" s="15" t="n"/>
      <c r="AJ90" s="15" t="n"/>
      <c r="AK90" s="15" t="n"/>
      <c r="AL90" s="15" t="n"/>
      <c r="AM90" s="15" t="n"/>
      <c r="AN90" s="15" t="n"/>
      <c r="AO90" s="15" t="n"/>
      <c r="AP90" s="15" t="n"/>
      <c r="AQ90" s="15" t="n"/>
      <c r="AR90" s="15" t="n"/>
      <c r="AS90" s="15" t="n"/>
      <c r="AT90" s="15" t="n"/>
      <c r="AU90" s="15" t="n"/>
      <c r="AV90" s="15" t="n"/>
      <c r="AW90" s="17" t="inlineStr">
        <is>
          <t>I</t>
        </is>
      </c>
      <c r="AX90" s="17" t="inlineStr">
        <is>
          <t>I</t>
        </is>
      </c>
      <c r="AY90" s="19" t="inlineStr">
        <is>
          <t>C</t>
        </is>
      </c>
      <c r="AZ90" s="19" t="inlineStr">
        <is>
          <t>C</t>
        </is>
      </c>
      <c r="BA90" s="19" t="inlineStr">
        <is>
          <t>C</t>
        </is>
      </c>
      <c r="BB90" s="18" t="inlineStr">
        <is>
          <t>E</t>
        </is>
      </c>
      <c r="BC90" s="15" t="n"/>
      <c r="BD90" s="15" t="n"/>
      <c r="BE90" s="15" t="n"/>
      <c r="BF90" s="15" t="n"/>
      <c r="BG90" s="15" t="n"/>
      <c r="BH90" s="15" t="n"/>
      <c r="BI90" s="15" t="n"/>
      <c r="BJ90" s="15" t="n"/>
      <c r="BK90" s="15" t="n"/>
      <c r="BL90" s="15" t="n"/>
      <c r="BM90" s="15" t="n"/>
      <c r="BN90" s="15" t="n"/>
      <c r="BO90" s="15" t="n"/>
      <c r="BP90" s="15" t="n"/>
      <c r="BQ90" s="15" t="n"/>
      <c r="BR90" s="15" t="n"/>
      <c r="BS90" s="15" t="n"/>
      <c r="BT90" s="15" t="n"/>
      <c r="BU90" s="15" t="n"/>
      <c r="BV90" s="15" t="n"/>
      <c r="BW90" s="15" t="n"/>
      <c r="BX90" s="15" t="n"/>
      <c r="BY90" s="15" t="n"/>
      <c r="BZ90" s="15" t="n"/>
      <c r="CA90" s="15" t="n"/>
      <c r="CB90" s="15" t="n"/>
      <c r="CC90" s="15" t="n"/>
      <c r="CD90" s="15" t="n"/>
      <c r="CE90" s="15" t="n"/>
      <c r="CF90" s="15" t="n"/>
      <c r="CG90" s="15" t="n"/>
      <c r="CH90" s="15" t="n"/>
      <c r="CI90" s="15" t="n"/>
      <c r="CJ90" s="15" t="n"/>
      <c r="CK90" s="15" t="n"/>
      <c r="CL90" s="15" t="n"/>
      <c r="CM90" s="15" t="n"/>
      <c r="CN90" s="15" t="n"/>
      <c r="CO90" s="15" t="n"/>
      <c r="CP90" s="15" t="n"/>
      <c r="CQ90" s="15" t="n"/>
      <c r="CR90" s="15" t="n"/>
      <c r="CS90" s="15" t="n"/>
      <c r="CT90" s="15" t="n"/>
      <c r="CU90" s="15" t="n"/>
      <c r="CV90" s="15" t="n"/>
      <c r="CW90" s="15" t="n"/>
      <c r="CX90" s="15" t="n"/>
      <c r="CY90" s="15" t="n"/>
      <c r="CZ90" s="15" t="n"/>
      <c r="DA90" s="15" t="n"/>
      <c r="DB90" s="15" t="n"/>
      <c r="DC90" s="15" t="n"/>
      <c r="DD90" s="15" t="n"/>
      <c r="DE90" s="15" t="n"/>
      <c r="DF90" s="15" t="n"/>
      <c r="DG90" s="15" t="n"/>
      <c r="DH90" s="15" t="n"/>
      <c r="DI90" s="15" t="n"/>
      <c r="DJ90" s="15" t="n"/>
      <c r="DK90" s="15" t="n"/>
      <c r="DL90" s="15" t="n"/>
    </row>
    <row r="91">
      <c r="A91" s="14" t="inlineStr">
        <is>
          <t>30(1)(vi)</t>
        </is>
      </c>
      <c r="B91" s="7" t="inlineStr">
        <is>
          <t>Lease of immovable - &gt;30 years / perpetual / indefinite</t>
        </is>
      </c>
      <c r="C91" s="15" t="n"/>
      <c r="D91" s="17" t="inlineStr">
        <is>
          <t>I</t>
        </is>
      </c>
      <c r="E91" s="15" t="n"/>
      <c r="F91" s="19" t="inlineStr">
        <is>
          <t>C</t>
        </is>
      </c>
      <c r="G91" s="15" t="n"/>
      <c r="H91" s="15" t="n"/>
      <c r="I91" s="15" t="n"/>
      <c r="J91" s="17" t="inlineStr">
        <is>
          <t>I</t>
        </is>
      </c>
      <c r="K91" s="15" t="n"/>
      <c r="L91" s="15" t="n"/>
      <c r="M91" s="15" t="n"/>
      <c r="N91" s="15" t="n"/>
      <c r="O91" s="15" t="n"/>
      <c r="P91" s="15" t="n"/>
      <c r="Q91" s="15" t="n"/>
      <c r="R91" s="15" t="n"/>
      <c r="S91" s="15" t="n"/>
      <c r="T91" s="15" t="n"/>
      <c r="U91" s="15" t="n"/>
      <c r="V91" s="15" t="n"/>
      <c r="W91" s="15" t="n"/>
      <c r="X91" s="15" t="n"/>
      <c r="Y91" s="15" t="n"/>
      <c r="Z91" s="15" t="n"/>
      <c r="AA91" s="15" t="n"/>
      <c r="AB91" s="15" t="n"/>
      <c r="AC91" s="15" t="n"/>
      <c r="AD91" s="15" t="n"/>
      <c r="AE91" s="15" t="n"/>
      <c r="AF91" s="15" t="n"/>
      <c r="AG91" s="15" t="n"/>
      <c r="AH91" s="15" t="n"/>
      <c r="AI91" s="15" t="n"/>
      <c r="AJ91" s="15" t="n"/>
      <c r="AK91" s="15" t="n"/>
      <c r="AL91" s="15" t="n"/>
      <c r="AM91" s="15" t="n"/>
      <c r="AN91" s="15" t="n"/>
      <c r="AO91" s="15" t="n"/>
      <c r="AP91" s="15" t="n"/>
      <c r="AQ91" s="15" t="n"/>
      <c r="AR91" s="15" t="n"/>
      <c r="AS91" s="15" t="n"/>
      <c r="AT91" s="15" t="n"/>
      <c r="AU91" s="15" t="n"/>
      <c r="AV91" s="15" t="n"/>
      <c r="AW91" s="17" t="inlineStr">
        <is>
          <t>I</t>
        </is>
      </c>
      <c r="AX91" s="17" t="inlineStr">
        <is>
          <t>I</t>
        </is>
      </c>
      <c r="AY91" s="19" t="inlineStr">
        <is>
          <t>C</t>
        </is>
      </c>
      <c r="AZ91" s="19" t="inlineStr">
        <is>
          <t>C</t>
        </is>
      </c>
      <c r="BA91" s="19" t="inlineStr">
        <is>
          <t>C</t>
        </is>
      </c>
      <c r="BB91" s="18" t="inlineStr">
        <is>
          <t>E</t>
        </is>
      </c>
      <c r="BC91" s="15" t="n"/>
      <c r="BD91" s="15" t="n"/>
      <c r="BE91" s="15" t="n"/>
      <c r="BF91" s="15" t="n"/>
      <c r="BG91" s="15" t="n"/>
      <c r="BH91" s="15" t="n"/>
      <c r="BI91" s="15" t="n"/>
      <c r="BJ91" s="15" t="n"/>
      <c r="BK91" s="15" t="n"/>
      <c r="BL91" s="15" t="n"/>
      <c r="BM91" s="15" t="n"/>
      <c r="BN91" s="15" t="n"/>
      <c r="BO91" s="15" t="n"/>
      <c r="BP91" s="15" t="n"/>
      <c r="BQ91" s="15" t="n"/>
      <c r="BR91" s="15" t="n"/>
      <c r="BS91" s="15" t="n"/>
      <c r="BT91" s="15" t="n"/>
      <c r="BU91" s="15" t="n"/>
      <c r="BV91" s="15" t="n"/>
      <c r="BW91" s="15" t="n"/>
      <c r="BX91" s="15" t="n"/>
      <c r="BY91" s="15" t="n"/>
      <c r="BZ91" s="15" t="n"/>
      <c r="CA91" s="15" t="n"/>
      <c r="CB91" s="15" t="n"/>
      <c r="CC91" s="15" t="n"/>
      <c r="CD91" s="15" t="n"/>
      <c r="CE91" s="15" t="n"/>
      <c r="CF91" s="15" t="n"/>
      <c r="CG91" s="15" t="n"/>
      <c r="CH91" s="15" t="n"/>
      <c r="CI91" s="15" t="n"/>
      <c r="CJ91" s="15" t="n"/>
      <c r="CK91" s="15" t="n"/>
      <c r="CL91" s="15" t="n"/>
      <c r="CM91" s="15" t="n"/>
      <c r="CN91" s="15" t="n"/>
      <c r="CO91" s="15" t="n"/>
      <c r="CP91" s="15" t="n"/>
      <c r="CQ91" s="15" t="n"/>
      <c r="CR91" s="15" t="n"/>
      <c r="CS91" s="15" t="n"/>
      <c r="CT91" s="15" t="n"/>
      <c r="CU91" s="15" t="n"/>
      <c r="CV91" s="15" t="n"/>
      <c r="CW91" s="15" t="n"/>
      <c r="CX91" s="15" t="n"/>
      <c r="CY91" s="15" t="n"/>
      <c r="CZ91" s="15" t="n"/>
      <c r="DA91" s="15" t="n"/>
      <c r="DB91" s="15" t="n"/>
      <c r="DC91" s="15" t="n"/>
      <c r="DD91" s="15" t="n"/>
      <c r="DE91" s="15" t="n"/>
      <c r="DF91" s="15" t="n"/>
      <c r="DG91" s="15" t="n"/>
      <c r="DH91" s="15" t="n"/>
      <c r="DI91" s="15" t="n"/>
      <c r="DJ91" s="15" t="n"/>
      <c r="DK91" s="15" t="n"/>
      <c r="DL91" s="15" t="n"/>
    </row>
    <row r="92">
      <c r="A92" s="14" t="inlineStr">
        <is>
          <t>30(1)-Family</t>
        </is>
      </c>
      <c r="B92" s="7" t="inlineStr">
        <is>
          <t>Lease of immovable to family member (2nd proviso)</t>
        </is>
      </c>
      <c r="C92" s="15" t="n"/>
      <c r="D92" s="17" t="inlineStr">
        <is>
          <t>I</t>
        </is>
      </c>
      <c r="E92" s="15" t="n"/>
      <c r="F92" s="15" t="n"/>
      <c r="G92" s="15" t="n"/>
      <c r="H92" s="15" t="n"/>
      <c r="I92" s="15" t="n"/>
      <c r="J92" s="17" t="inlineStr">
        <is>
          <t>I</t>
        </is>
      </c>
      <c r="K92" s="15" t="n"/>
      <c r="L92" s="19" t="inlineStr">
        <is>
          <t>C</t>
        </is>
      </c>
      <c r="M92" s="15" t="n"/>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c r="AH92" s="15" t="n"/>
      <c r="AI92" s="15" t="n"/>
      <c r="AJ92" s="15" t="n"/>
      <c r="AK92" s="15" t="n"/>
      <c r="AL92" s="15" t="n"/>
      <c r="AM92" s="15" t="n"/>
      <c r="AN92" s="15" t="n"/>
      <c r="AO92" s="15" t="n"/>
      <c r="AP92" s="15" t="n"/>
      <c r="AQ92" s="15" t="n"/>
      <c r="AR92" s="15" t="n"/>
      <c r="AS92" s="15" t="n"/>
      <c r="AT92" s="15" t="n"/>
      <c r="AU92" s="15" t="n"/>
      <c r="AV92" s="15" t="n"/>
      <c r="AW92" s="15" t="n"/>
      <c r="AX92" s="15" t="n"/>
      <c r="AY92" s="15" t="n"/>
      <c r="AZ92" s="15" t="n"/>
      <c r="BA92" s="15" t="n"/>
      <c r="BB92" s="15" t="n"/>
      <c r="BC92" s="15" t="n"/>
      <c r="BD92" s="15" t="n"/>
      <c r="BE92" s="15" t="n"/>
      <c r="BF92" s="15" t="n"/>
      <c r="BG92" s="15" t="n"/>
      <c r="BH92" s="15" t="n"/>
      <c r="BI92" s="15" t="n"/>
      <c r="BJ92" s="15" t="n"/>
      <c r="BK92" s="15" t="n"/>
      <c r="BL92" s="15" t="n"/>
      <c r="BM92" s="15" t="n"/>
      <c r="BN92" s="15" t="n"/>
      <c r="BO92" s="15" t="n"/>
      <c r="BP92" s="15" t="n"/>
      <c r="BQ92" s="15" t="n"/>
      <c r="BR92" s="15" t="n"/>
      <c r="BS92" s="15" t="n"/>
      <c r="BT92" s="15" t="n"/>
      <c r="BU92" s="15" t="n"/>
      <c r="BV92" s="15" t="n"/>
      <c r="BW92" s="15" t="n"/>
      <c r="BX92" s="15" t="n"/>
      <c r="BY92" s="15" t="n"/>
      <c r="BZ92" s="15" t="n"/>
      <c r="CA92" s="15" t="n"/>
      <c r="CB92" s="15" t="n"/>
      <c r="CC92" s="15" t="n"/>
      <c r="CD92" s="15" t="n"/>
      <c r="CE92" s="15" t="n"/>
      <c r="CF92" s="15" t="n"/>
      <c r="CG92" s="15" t="n"/>
      <c r="CH92" s="15" t="n"/>
      <c r="CI92" s="15" t="n"/>
      <c r="CJ92" s="15" t="n"/>
      <c r="CK92" s="15" t="n"/>
      <c r="CL92" s="15" t="n"/>
      <c r="CM92" s="15" t="n"/>
      <c r="CN92" s="15" t="n"/>
      <c r="CO92" s="15" t="n"/>
      <c r="CP92" s="15" t="n"/>
      <c r="CQ92" s="15" t="n"/>
      <c r="CR92" s="15" t="n"/>
      <c r="CS92" s="15" t="n"/>
      <c r="CT92" s="15" t="n"/>
      <c r="CU92" s="15" t="n"/>
      <c r="CV92" s="15" t="n"/>
      <c r="CW92" s="15" t="n"/>
      <c r="CX92" s="15" t="n"/>
      <c r="CY92" s="15" t="n"/>
      <c r="CZ92" s="15" t="n"/>
      <c r="DA92" s="15" t="n"/>
      <c r="DB92" s="15" t="n"/>
      <c r="DC92" s="15" t="n"/>
      <c r="DD92" s="15" t="n"/>
      <c r="DE92" s="15" t="n"/>
      <c r="DF92" s="15" t="n"/>
      <c r="DG92" s="15" t="n"/>
      <c r="DH92" s="15" t="n"/>
      <c r="DI92" s="15" t="n"/>
      <c r="DJ92" s="15" t="n"/>
      <c r="DK92" s="15" t="n"/>
      <c r="DL92" s="15" t="n"/>
    </row>
    <row r="93">
      <c r="A93" s="14" t="inlineStr">
        <is>
          <t>30(2)(a)(i)</t>
        </is>
      </c>
      <c r="B93" s="7" t="inlineStr">
        <is>
          <t>Lease of movable - rent only, up to 10 years</t>
        </is>
      </c>
      <c r="C93" s="15" t="n"/>
      <c r="D93" s="15" t="n"/>
      <c r="E93" s="15" t="n"/>
      <c r="F93" s="15" t="n"/>
      <c r="G93" s="15" t="n"/>
      <c r="H93" s="15" t="n"/>
      <c r="I93" s="15" t="n"/>
      <c r="J93" s="17" t="inlineStr">
        <is>
          <t>I</t>
        </is>
      </c>
      <c r="K93" s="15" t="n"/>
      <c r="L93" s="15" t="n"/>
      <c r="M93" s="15" t="n"/>
      <c r="N93" s="15" t="n"/>
      <c r="O93" s="15" t="n"/>
      <c r="P93" s="15" t="n"/>
      <c r="Q93" s="15" t="n"/>
      <c r="R93" s="15" t="n"/>
      <c r="S93" s="15" t="n"/>
      <c r="T93" s="15" t="n"/>
      <c r="U93" s="15" t="n"/>
      <c r="V93" s="15" t="n"/>
      <c r="W93" s="15" t="n"/>
      <c r="X93" s="15" t="n"/>
      <c r="Y93" s="15" t="n"/>
      <c r="Z93" s="15" t="n"/>
      <c r="AA93" s="15" t="n"/>
      <c r="AB93" s="15" t="n"/>
      <c r="AC93" s="15" t="n"/>
      <c r="AD93" s="15" t="n"/>
      <c r="AE93" s="15" t="n"/>
      <c r="AF93" s="15" t="n"/>
      <c r="AG93" s="15" t="n"/>
      <c r="AH93" s="15" t="n"/>
      <c r="AI93" s="15" t="n"/>
      <c r="AJ93" s="15" t="n"/>
      <c r="AK93" s="15" t="n"/>
      <c r="AL93" s="15" t="n"/>
      <c r="AM93" s="15" t="n"/>
      <c r="AN93" s="15" t="n"/>
      <c r="AO93" s="15" t="n"/>
      <c r="AP93" s="15" t="n"/>
      <c r="AQ93" s="15" t="n"/>
      <c r="AR93" s="15" t="n"/>
      <c r="AS93" s="15" t="n"/>
      <c r="AT93" s="15" t="n"/>
      <c r="AU93" s="15" t="n"/>
      <c r="AV93" s="15" t="n"/>
      <c r="AW93" s="15" t="n"/>
      <c r="AX93" s="17" t="inlineStr">
        <is>
          <t>I</t>
        </is>
      </c>
      <c r="AY93" s="19" t="inlineStr">
        <is>
          <t>C</t>
        </is>
      </c>
      <c r="AZ93" s="15" t="n"/>
      <c r="BA93" s="15" t="n"/>
      <c r="BB93" s="18" t="inlineStr">
        <is>
          <t>E</t>
        </is>
      </c>
      <c r="BC93" s="17" t="inlineStr">
        <is>
          <t>I</t>
        </is>
      </c>
      <c r="BD93" s="19" t="inlineStr">
        <is>
          <t>C</t>
        </is>
      </c>
      <c r="BE93" s="15" t="n"/>
      <c r="BF93" s="15" t="n"/>
      <c r="BG93" s="15" t="n"/>
      <c r="BH93" s="15" t="n"/>
      <c r="BI93" s="15" t="n"/>
      <c r="BJ93" s="15" t="n"/>
      <c r="BK93" s="15" t="n"/>
      <c r="BL93" s="15" t="n"/>
      <c r="BM93" s="15" t="n"/>
      <c r="BN93" s="15" t="n"/>
      <c r="BO93" s="15" t="n"/>
      <c r="BP93" s="15" t="n"/>
      <c r="BQ93" s="15" t="n"/>
      <c r="BR93" s="15" t="n"/>
      <c r="BS93" s="15" t="n"/>
      <c r="BT93" s="15" t="n"/>
      <c r="BU93" s="15" t="n"/>
      <c r="BV93" s="15" t="n"/>
      <c r="BW93" s="15" t="n"/>
      <c r="BX93" s="15" t="n"/>
      <c r="BY93" s="15" t="n"/>
      <c r="BZ93" s="15" t="n"/>
      <c r="CA93" s="15" t="n"/>
      <c r="CB93" s="15" t="n"/>
      <c r="CC93" s="15" t="n"/>
      <c r="CD93" s="15" t="n"/>
      <c r="CE93" s="15" t="n"/>
      <c r="CF93" s="15" t="n"/>
      <c r="CG93" s="15" t="n"/>
      <c r="CH93" s="15" t="n"/>
      <c r="CI93" s="15" t="n"/>
      <c r="CJ93" s="15" t="n"/>
      <c r="CK93" s="15" t="n"/>
      <c r="CL93" s="15" t="n"/>
      <c r="CM93" s="15" t="n"/>
      <c r="CN93" s="15" t="n"/>
      <c r="CO93" s="15" t="n"/>
      <c r="CP93" s="15" t="n"/>
      <c r="CQ93" s="15" t="n"/>
      <c r="CR93" s="15" t="n"/>
      <c r="CS93" s="15" t="n"/>
      <c r="CT93" s="15" t="n"/>
      <c r="CU93" s="15" t="n"/>
      <c r="CV93" s="15" t="n"/>
      <c r="CW93" s="15" t="n"/>
      <c r="CX93" s="15" t="n"/>
      <c r="CY93" s="15" t="n"/>
      <c r="CZ93" s="15" t="n"/>
      <c r="DA93" s="15" t="n"/>
      <c r="DB93" s="15" t="n"/>
      <c r="DC93" s="15" t="n"/>
      <c r="DD93" s="15" t="n"/>
      <c r="DE93" s="15" t="n"/>
      <c r="DF93" s="15" t="n"/>
      <c r="DG93" s="15" t="n"/>
      <c r="DH93" s="15" t="n"/>
      <c r="DI93" s="15" t="n"/>
      <c r="DJ93" s="15" t="n"/>
      <c r="DK93" s="15" t="n"/>
      <c r="DL93" s="15" t="n"/>
    </row>
    <row r="94">
      <c r="A94" s="14" t="inlineStr">
        <is>
          <t>30(2)(a)(ii)</t>
        </is>
      </c>
      <c r="B94" s="7" t="inlineStr">
        <is>
          <t>Lease of movable - rent only, above 10 years</t>
        </is>
      </c>
      <c r="C94" s="15" t="n"/>
      <c r="D94" s="15" t="n"/>
      <c r="E94" s="15" t="n"/>
      <c r="F94" s="15" t="n"/>
      <c r="G94" s="15" t="n"/>
      <c r="H94" s="15" t="n"/>
      <c r="I94" s="15" t="n"/>
      <c r="J94" s="17" t="inlineStr">
        <is>
          <t>I</t>
        </is>
      </c>
      <c r="K94" s="15" t="n"/>
      <c r="L94" s="15" t="n"/>
      <c r="M94" s="15" t="n"/>
      <c r="N94" s="15" t="n"/>
      <c r="O94" s="15" t="n"/>
      <c r="P94" s="15" t="n"/>
      <c r="Q94" s="15" t="n"/>
      <c r="R94" s="15" t="n"/>
      <c r="S94" s="15" t="n"/>
      <c r="T94" s="15" t="n"/>
      <c r="U94" s="15" t="n"/>
      <c r="V94" s="15" t="n"/>
      <c r="W94" s="15" t="n"/>
      <c r="X94" s="15" t="n"/>
      <c r="Y94" s="15" t="n"/>
      <c r="Z94" s="15" t="n"/>
      <c r="AA94" s="15" t="n"/>
      <c r="AB94" s="15" t="n"/>
      <c r="AC94" s="15" t="n"/>
      <c r="AD94" s="15" t="n"/>
      <c r="AE94" s="15" t="n"/>
      <c r="AF94" s="15" t="n"/>
      <c r="AG94" s="15" t="n"/>
      <c r="AH94" s="15" t="n"/>
      <c r="AI94" s="15" t="n"/>
      <c r="AJ94" s="15" t="n"/>
      <c r="AK94" s="15" t="n"/>
      <c r="AL94" s="15" t="n"/>
      <c r="AM94" s="15" t="n"/>
      <c r="AN94" s="15" t="n"/>
      <c r="AO94" s="15" t="n"/>
      <c r="AP94" s="15" t="n"/>
      <c r="AQ94" s="15" t="n"/>
      <c r="AR94" s="15" t="n"/>
      <c r="AS94" s="15" t="n"/>
      <c r="AT94" s="15" t="n"/>
      <c r="AU94" s="15" t="n"/>
      <c r="AV94" s="15" t="n"/>
      <c r="AW94" s="15" t="n"/>
      <c r="AX94" s="17" t="inlineStr">
        <is>
          <t>I</t>
        </is>
      </c>
      <c r="AY94" s="19" t="inlineStr">
        <is>
          <t>C</t>
        </is>
      </c>
      <c r="AZ94" s="15" t="n"/>
      <c r="BA94" s="15" t="n"/>
      <c r="BB94" s="18" t="inlineStr">
        <is>
          <t>E</t>
        </is>
      </c>
      <c r="BC94" s="17" t="inlineStr">
        <is>
          <t>I</t>
        </is>
      </c>
      <c r="BD94" s="19" t="inlineStr">
        <is>
          <t>C</t>
        </is>
      </c>
      <c r="BE94" s="15" t="n"/>
      <c r="BF94" s="15" t="n"/>
      <c r="BG94" s="15" t="n"/>
      <c r="BH94" s="15" t="n"/>
      <c r="BI94" s="15" t="n"/>
      <c r="BJ94" s="15" t="n"/>
      <c r="BK94" s="15" t="n"/>
      <c r="BL94" s="15" t="n"/>
      <c r="BM94" s="15" t="n"/>
      <c r="BN94" s="15" t="n"/>
      <c r="BO94" s="15" t="n"/>
      <c r="BP94" s="15" t="n"/>
      <c r="BQ94" s="15" t="n"/>
      <c r="BR94" s="15" t="n"/>
      <c r="BS94" s="15" t="n"/>
      <c r="BT94" s="15" t="n"/>
      <c r="BU94" s="15" t="n"/>
      <c r="BV94" s="15" t="n"/>
      <c r="BW94" s="15" t="n"/>
      <c r="BX94" s="15" t="n"/>
      <c r="BY94" s="15" t="n"/>
      <c r="BZ94" s="15" t="n"/>
      <c r="CA94" s="15" t="n"/>
      <c r="CB94" s="15" t="n"/>
      <c r="CC94" s="15" t="n"/>
      <c r="CD94" s="15" t="n"/>
      <c r="CE94" s="15" t="n"/>
      <c r="CF94" s="15" t="n"/>
      <c r="CG94" s="15" t="n"/>
      <c r="CH94" s="15" t="n"/>
      <c r="CI94" s="15" t="n"/>
      <c r="CJ94" s="15" t="n"/>
      <c r="CK94" s="15" t="n"/>
      <c r="CL94" s="15" t="n"/>
      <c r="CM94" s="15" t="n"/>
      <c r="CN94" s="15" t="n"/>
      <c r="CO94" s="15" t="n"/>
      <c r="CP94" s="15" t="n"/>
      <c r="CQ94" s="15" t="n"/>
      <c r="CR94" s="15" t="n"/>
      <c r="CS94" s="15" t="n"/>
      <c r="CT94" s="15" t="n"/>
      <c r="CU94" s="15" t="n"/>
      <c r="CV94" s="15" t="n"/>
      <c r="CW94" s="15" t="n"/>
      <c r="CX94" s="15" t="n"/>
      <c r="CY94" s="15" t="n"/>
      <c r="CZ94" s="15" t="n"/>
      <c r="DA94" s="15" t="n"/>
      <c r="DB94" s="15" t="n"/>
      <c r="DC94" s="15" t="n"/>
      <c r="DD94" s="15" t="n"/>
      <c r="DE94" s="15" t="n"/>
      <c r="DF94" s="15" t="n"/>
      <c r="DG94" s="15" t="n"/>
      <c r="DH94" s="15" t="n"/>
      <c r="DI94" s="15" t="n"/>
      <c r="DJ94" s="15" t="n"/>
      <c r="DK94" s="15" t="n"/>
      <c r="DL94" s="15" t="n"/>
    </row>
    <row r="95">
      <c r="A95" s="14" t="inlineStr">
        <is>
          <t>30(2)(b)</t>
        </is>
      </c>
      <c r="B95" s="7" t="inlineStr">
        <is>
          <t>Lease of movable - premium / advance only, no rent</t>
        </is>
      </c>
      <c r="C95" s="15" t="n"/>
      <c r="D95" s="15" t="n"/>
      <c r="E95" s="15" t="n"/>
      <c r="F95" s="15" t="n"/>
      <c r="G95" s="15" t="n"/>
      <c r="H95" s="15" t="n"/>
      <c r="I95" s="15" t="n"/>
      <c r="J95" s="17" t="inlineStr">
        <is>
          <t>I</t>
        </is>
      </c>
      <c r="K95" s="15" t="n"/>
      <c r="L95" s="15" t="n"/>
      <c r="M95" s="15" t="n"/>
      <c r="N95" s="15" t="n"/>
      <c r="O95" s="15" t="n"/>
      <c r="P95" s="15" t="n"/>
      <c r="Q95" s="15" t="n"/>
      <c r="R95" s="15" t="n"/>
      <c r="S95" s="15" t="n"/>
      <c r="T95" s="15" t="n"/>
      <c r="U95" s="15" t="n"/>
      <c r="V95" s="15" t="n"/>
      <c r="W95" s="15" t="n"/>
      <c r="X95" s="15" t="n"/>
      <c r="Y95" s="15" t="n"/>
      <c r="Z95" s="15" t="n"/>
      <c r="AA95" s="15" t="n"/>
      <c r="AB95" s="15" t="n"/>
      <c r="AC95" s="15" t="n"/>
      <c r="AD95" s="15" t="n"/>
      <c r="AE95" s="15" t="n"/>
      <c r="AF95" s="15" t="n"/>
      <c r="AG95" s="15" t="n"/>
      <c r="AH95" s="15" t="n"/>
      <c r="AI95" s="15" t="n"/>
      <c r="AJ95" s="15" t="n"/>
      <c r="AK95" s="15" t="n"/>
      <c r="AL95" s="15" t="n"/>
      <c r="AM95" s="15" t="n"/>
      <c r="AN95" s="15" t="n"/>
      <c r="AO95" s="15" t="n"/>
      <c r="AP95" s="15" t="n"/>
      <c r="AQ95" s="15" t="n"/>
      <c r="AR95" s="15" t="n"/>
      <c r="AS95" s="15" t="n"/>
      <c r="AT95" s="15" t="n"/>
      <c r="AU95" s="15" t="n"/>
      <c r="AV95" s="15" t="n"/>
      <c r="AW95" s="15" t="n"/>
      <c r="AX95" s="15" t="n"/>
      <c r="AY95" s="15" t="n"/>
      <c r="AZ95" s="19" t="inlineStr">
        <is>
          <t>C</t>
        </is>
      </c>
      <c r="BA95" s="19" t="inlineStr">
        <is>
          <t>C</t>
        </is>
      </c>
      <c r="BB95" s="18" t="inlineStr">
        <is>
          <t>E</t>
        </is>
      </c>
      <c r="BC95" s="17" t="inlineStr">
        <is>
          <t>I</t>
        </is>
      </c>
      <c r="BD95" s="19" t="inlineStr">
        <is>
          <t>C</t>
        </is>
      </c>
      <c r="BE95" s="15" t="n"/>
      <c r="BF95" s="15" t="n"/>
      <c r="BG95" s="15" t="n"/>
      <c r="BH95" s="15" t="n"/>
      <c r="BI95" s="15" t="n"/>
      <c r="BJ95" s="15" t="n"/>
      <c r="BK95" s="15" t="n"/>
      <c r="BL95" s="15" t="n"/>
      <c r="BM95" s="15" t="n"/>
      <c r="BN95" s="15" t="n"/>
      <c r="BO95" s="15" t="n"/>
      <c r="BP95" s="15" t="n"/>
      <c r="BQ95" s="15" t="n"/>
      <c r="BR95" s="15" t="n"/>
      <c r="BS95" s="15" t="n"/>
      <c r="BT95" s="15" t="n"/>
      <c r="BU95" s="15" t="n"/>
      <c r="BV95" s="15" t="n"/>
      <c r="BW95" s="15" t="n"/>
      <c r="BX95" s="15" t="n"/>
      <c r="BY95" s="15" t="n"/>
      <c r="BZ95" s="15" t="n"/>
      <c r="CA95" s="15" t="n"/>
      <c r="CB95" s="15" t="n"/>
      <c r="CC95" s="15" t="n"/>
      <c r="CD95" s="15" t="n"/>
      <c r="CE95" s="15" t="n"/>
      <c r="CF95" s="15" t="n"/>
      <c r="CG95" s="15" t="n"/>
      <c r="CH95" s="15" t="n"/>
      <c r="CI95" s="15" t="n"/>
      <c r="CJ95" s="15" t="n"/>
      <c r="CK95" s="15" t="n"/>
      <c r="CL95" s="15" t="n"/>
      <c r="CM95" s="15" t="n"/>
      <c r="CN95" s="15" t="n"/>
      <c r="CO95" s="15" t="n"/>
      <c r="CP95" s="15" t="n"/>
      <c r="CQ95" s="15" t="n"/>
      <c r="CR95" s="15" t="n"/>
      <c r="CS95" s="15" t="n"/>
      <c r="CT95" s="15" t="n"/>
      <c r="CU95" s="15" t="n"/>
      <c r="CV95" s="15" t="n"/>
      <c r="CW95" s="15" t="n"/>
      <c r="CX95" s="15" t="n"/>
      <c r="CY95" s="15" t="n"/>
      <c r="CZ95" s="15" t="n"/>
      <c r="DA95" s="15" t="n"/>
      <c r="DB95" s="15" t="n"/>
      <c r="DC95" s="15" t="n"/>
      <c r="DD95" s="15" t="n"/>
      <c r="DE95" s="15" t="n"/>
      <c r="DF95" s="15" t="n"/>
      <c r="DG95" s="15" t="n"/>
      <c r="DH95" s="15" t="n"/>
      <c r="DI95" s="15" t="n"/>
      <c r="DJ95" s="15" t="n"/>
      <c r="DK95" s="15" t="n"/>
      <c r="DL95" s="15" t="n"/>
    </row>
    <row r="96">
      <c r="A96" s="14" t="inlineStr">
        <is>
          <t>30(2)(c)</t>
        </is>
      </c>
      <c r="B96" s="7" t="inlineStr">
        <is>
          <t>Lease of movable - premium / advance plus rent</t>
        </is>
      </c>
      <c r="C96" s="15" t="n"/>
      <c r="D96" s="15" t="n"/>
      <c r="E96" s="15" t="n"/>
      <c r="F96" s="15" t="n"/>
      <c r="G96" s="15" t="n"/>
      <c r="H96" s="15" t="n"/>
      <c r="I96" s="15" t="n"/>
      <c r="J96" s="17" t="inlineStr">
        <is>
          <t>I</t>
        </is>
      </c>
      <c r="K96" s="15" t="n"/>
      <c r="L96" s="15" t="n"/>
      <c r="M96" s="15" t="n"/>
      <c r="N96" s="15" t="n"/>
      <c r="O96" s="15" t="n"/>
      <c r="P96" s="15" t="n"/>
      <c r="Q96" s="15" t="n"/>
      <c r="R96" s="15" t="n"/>
      <c r="S96" s="15" t="n"/>
      <c r="T96" s="15" t="n"/>
      <c r="U96" s="15" t="n"/>
      <c r="V96" s="15" t="n"/>
      <c r="W96" s="15" t="n"/>
      <c r="X96" s="15" t="n"/>
      <c r="Y96" s="15" t="n"/>
      <c r="Z96" s="15" t="n"/>
      <c r="AA96" s="15" t="n"/>
      <c r="AB96" s="15" t="n"/>
      <c r="AC96" s="15" t="n"/>
      <c r="AD96" s="15" t="n"/>
      <c r="AE96" s="15" t="n"/>
      <c r="AF96" s="15" t="n"/>
      <c r="AG96" s="15" t="n"/>
      <c r="AH96" s="15" t="n"/>
      <c r="AI96" s="15" t="n"/>
      <c r="AJ96" s="15" t="n"/>
      <c r="AK96" s="15" t="n"/>
      <c r="AL96" s="15" t="n"/>
      <c r="AM96" s="15" t="n"/>
      <c r="AN96" s="15" t="n"/>
      <c r="AO96" s="15" t="n"/>
      <c r="AP96" s="15" t="n"/>
      <c r="AQ96" s="15" t="n"/>
      <c r="AR96" s="15" t="n"/>
      <c r="AS96" s="15" t="n"/>
      <c r="AT96" s="15" t="n"/>
      <c r="AU96" s="15" t="n"/>
      <c r="AV96" s="15" t="n"/>
      <c r="AW96" s="15" t="n"/>
      <c r="AX96" s="17" t="inlineStr">
        <is>
          <t>I</t>
        </is>
      </c>
      <c r="AY96" s="19" t="inlineStr">
        <is>
          <t>C</t>
        </is>
      </c>
      <c r="AZ96" s="19" t="inlineStr">
        <is>
          <t>C</t>
        </is>
      </c>
      <c r="BA96" s="19" t="inlineStr">
        <is>
          <t>C</t>
        </is>
      </c>
      <c r="BB96" s="18" t="inlineStr">
        <is>
          <t>E</t>
        </is>
      </c>
      <c r="BC96" s="17" t="inlineStr">
        <is>
          <t>I</t>
        </is>
      </c>
      <c r="BD96" s="19" t="inlineStr">
        <is>
          <t>C</t>
        </is>
      </c>
      <c r="BE96" s="15" t="n"/>
      <c r="BF96" s="15" t="n"/>
      <c r="BG96" s="15" t="n"/>
      <c r="BH96" s="15" t="n"/>
      <c r="BI96" s="15" t="n"/>
      <c r="BJ96" s="15" t="n"/>
      <c r="BK96" s="15" t="n"/>
      <c r="BL96" s="15" t="n"/>
      <c r="BM96" s="15" t="n"/>
      <c r="BN96" s="15" t="n"/>
      <c r="BO96" s="15" t="n"/>
      <c r="BP96" s="15" t="n"/>
      <c r="BQ96" s="15" t="n"/>
      <c r="BR96" s="15" t="n"/>
      <c r="BS96" s="15" t="n"/>
      <c r="BT96" s="15" t="n"/>
      <c r="BU96" s="15" t="n"/>
      <c r="BV96" s="15" t="n"/>
      <c r="BW96" s="15" t="n"/>
      <c r="BX96" s="15" t="n"/>
      <c r="BY96" s="15" t="n"/>
      <c r="BZ96" s="15" t="n"/>
      <c r="CA96" s="15" t="n"/>
      <c r="CB96" s="15" t="n"/>
      <c r="CC96" s="15" t="n"/>
      <c r="CD96" s="15" t="n"/>
      <c r="CE96" s="15" t="n"/>
      <c r="CF96" s="15" t="n"/>
      <c r="CG96" s="15" t="n"/>
      <c r="CH96" s="15" t="n"/>
      <c r="CI96" s="15" t="n"/>
      <c r="CJ96" s="15" t="n"/>
      <c r="CK96" s="15" t="n"/>
      <c r="CL96" s="15" t="n"/>
      <c r="CM96" s="15" t="n"/>
      <c r="CN96" s="15" t="n"/>
      <c r="CO96" s="15" t="n"/>
      <c r="CP96" s="15" t="n"/>
      <c r="CQ96" s="15" t="n"/>
      <c r="CR96" s="15" t="n"/>
      <c r="CS96" s="15" t="n"/>
      <c r="CT96" s="15" t="n"/>
      <c r="CU96" s="15" t="n"/>
      <c r="CV96" s="15" t="n"/>
      <c r="CW96" s="15" t="n"/>
      <c r="CX96" s="15" t="n"/>
      <c r="CY96" s="15" t="n"/>
      <c r="CZ96" s="15" t="n"/>
      <c r="DA96" s="15" t="n"/>
      <c r="DB96" s="15" t="n"/>
      <c r="DC96" s="15" t="n"/>
      <c r="DD96" s="15" t="n"/>
      <c r="DE96" s="15" t="n"/>
      <c r="DF96" s="15" t="n"/>
      <c r="DG96" s="15" t="n"/>
      <c r="DH96" s="15" t="n"/>
      <c r="DI96" s="15" t="n"/>
      <c r="DJ96" s="15" t="n"/>
      <c r="DK96" s="15" t="n"/>
      <c r="DL96" s="15" t="n"/>
    </row>
    <row r="97">
      <c r="A97" s="14" t="inlineStr">
        <is>
          <t>30(3)(a)(i)</t>
        </is>
      </c>
      <c r="B97" s="7" t="inlineStr">
        <is>
          <t>MDPA / mining lease by auction - &gt;1 to 10 years</t>
        </is>
      </c>
      <c r="C97" s="15" t="n"/>
      <c r="D97" s="15" t="n"/>
      <c r="E97" s="15" t="n"/>
      <c r="F97" s="15" t="n"/>
      <c r="G97" s="15" t="n"/>
      <c r="H97" s="15" t="n"/>
      <c r="I97" s="15" t="n"/>
      <c r="J97" s="15" t="n"/>
      <c r="K97" s="15" t="n"/>
      <c r="L97" s="15" t="n"/>
      <c r="M97" s="15" t="n"/>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c r="AH97" s="15" t="n"/>
      <c r="AI97" s="15" t="n"/>
      <c r="AJ97" s="15" t="n"/>
      <c r="AK97" s="15" t="n"/>
      <c r="AL97" s="15" t="n"/>
      <c r="AM97" s="15" t="n"/>
      <c r="AN97" s="15" t="n"/>
      <c r="AO97" s="15" t="n"/>
      <c r="AP97" s="15" t="n"/>
      <c r="AQ97" s="15" t="n"/>
      <c r="AR97" s="15" t="n"/>
      <c r="AS97" s="15" t="n"/>
      <c r="AT97" s="15" t="n"/>
      <c r="AU97" s="15" t="n"/>
      <c r="AV97" s="15" t="n"/>
      <c r="AW97" s="17" t="inlineStr">
        <is>
          <t>I</t>
        </is>
      </c>
      <c r="AX97" s="17" t="inlineStr">
        <is>
          <t>I</t>
        </is>
      </c>
      <c r="AY97" s="15" t="n"/>
      <c r="AZ97" s="15" t="n"/>
      <c r="BA97" s="15" t="n"/>
      <c r="BB97" s="15" t="n"/>
      <c r="BC97" s="15" t="n"/>
      <c r="BD97" s="15" t="n"/>
      <c r="BE97" s="17" t="inlineStr">
        <is>
          <t>I</t>
        </is>
      </c>
      <c r="BF97" s="19" t="inlineStr">
        <is>
          <t>C</t>
        </is>
      </c>
      <c r="BG97" s="18" t="inlineStr">
        <is>
          <t>E</t>
        </is>
      </c>
      <c r="BH97" s="15" t="n"/>
      <c r="BI97" s="15" t="n"/>
      <c r="BJ97" s="15" t="n"/>
      <c r="BK97" s="15" t="n"/>
      <c r="BL97" s="15" t="n"/>
      <c r="BM97" s="15" t="n"/>
      <c r="BN97" s="15" t="n"/>
      <c r="BO97" s="15" t="n"/>
      <c r="BP97" s="15" t="n"/>
      <c r="BQ97" s="15" t="n"/>
      <c r="BR97" s="15" t="n"/>
      <c r="BS97" s="15" t="n"/>
      <c r="BT97" s="15" t="n"/>
      <c r="BU97" s="15" t="n"/>
      <c r="BV97" s="15" t="n"/>
      <c r="BW97" s="15" t="n"/>
      <c r="BX97" s="15" t="n"/>
      <c r="BY97" s="15" t="n"/>
      <c r="BZ97" s="15" t="n"/>
      <c r="CA97" s="15" t="n"/>
      <c r="CB97" s="15" t="n"/>
      <c r="CC97" s="15" t="n"/>
      <c r="CD97" s="15" t="n"/>
      <c r="CE97" s="15" t="n"/>
      <c r="CF97" s="15" t="n"/>
      <c r="CG97" s="15" t="n"/>
      <c r="CH97" s="15" t="n"/>
      <c r="CI97" s="15" t="n"/>
      <c r="CJ97" s="15" t="n"/>
      <c r="CK97" s="15" t="n"/>
      <c r="CL97" s="15" t="n"/>
      <c r="CM97" s="15" t="n"/>
      <c r="CN97" s="15" t="n"/>
      <c r="CO97" s="15" t="n"/>
      <c r="CP97" s="15" t="n"/>
      <c r="CQ97" s="15" t="n"/>
      <c r="CR97" s="15" t="n"/>
      <c r="CS97" s="15" t="n"/>
      <c r="CT97" s="15" t="n"/>
      <c r="CU97" s="15" t="n"/>
      <c r="CV97" s="15" t="n"/>
      <c r="CW97" s="15" t="n"/>
      <c r="CX97" s="15" t="n"/>
      <c r="CY97" s="15" t="n"/>
      <c r="CZ97" s="15" t="n"/>
      <c r="DA97" s="15" t="n"/>
      <c r="DB97" s="15" t="n"/>
      <c r="DC97" s="15" t="n"/>
      <c r="DD97" s="15" t="n"/>
      <c r="DE97" s="15" t="n"/>
      <c r="DF97" s="15" t="n"/>
      <c r="DG97" s="15" t="n"/>
      <c r="DH97" s="15" t="n"/>
      <c r="DI97" s="15" t="n"/>
      <c r="DJ97" s="15" t="n"/>
      <c r="DK97" s="15" t="n"/>
      <c r="DL97" s="15" t="n"/>
    </row>
    <row r="98">
      <c r="A98" s="14" t="inlineStr">
        <is>
          <t>30(3)(a)(ii)</t>
        </is>
      </c>
      <c r="B98" s="7" t="inlineStr">
        <is>
          <t>MDPA / mining lease by auction - &gt;10 to 20 years</t>
        </is>
      </c>
      <c r="C98" s="15" t="n"/>
      <c r="D98" s="15" t="n"/>
      <c r="E98" s="15" t="n"/>
      <c r="F98" s="15" t="n"/>
      <c r="G98" s="15" t="n"/>
      <c r="H98" s="15" t="n"/>
      <c r="I98" s="15" t="n"/>
      <c r="J98" s="15" t="n"/>
      <c r="K98" s="15" t="n"/>
      <c r="L98" s="15" t="n"/>
      <c r="M98" s="15" t="n"/>
      <c r="N98" s="15" t="n"/>
      <c r="O98" s="15" t="n"/>
      <c r="P98" s="15" t="n"/>
      <c r="Q98" s="15" t="n"/>
      <c r="R98" s="15" t="n"/>
      <c r="S98" s="15" t="n"/>
      <c r="T98" s="15" t="n"/>
      <c r="U98" s="15" t="n"/>
      <c r="V98" s="15" t="n"/>
      <c r="W98" s="15" t="n"/>
      <c r="X98" s="15" t="n"/>
      <c r="Y98" s="15" t="n"/>
      <c r="Z98" s="15" t="n"/>
      <c r="AA98" s="15" t="n"/>
      <c r="AB98" s="15" t="n"/>
      <c r="AC98" s="15" t="n"/>
      <c r="AD98" s="15" t="n"/>
      <c r="AE98" s="15" t="n"/>
      <c r="AF98" s="15" t="n"/>
      <c r="AG98" s="15" t="n"/>
      <c r="AH98" s="15" t="n"/>
      <c r="AI98" s="15" t="n"/>
      <c r="AJ98" s="15" t="n"/>
      <c r="AK98" s="15" t="n"/>
      <c r="AL98" s="15" t="n"/>
      <c r="AM98" s="15" t="n"/>
      <c r="AN98" s="15" t="n"/>
      <c r="AO98" s="15" t="n"/>
      <c r="AP98" s="15" t="n"/>
      <c r="AQ98" s="15" t="n"/>
      <c r="AR98" s="15" t="n"/>
      <c r="AS98" s="15" t="n"/>
      <c r="AT98" s="15" t="n"/>
      <c r="AU98" s="15" t="n"/>
      <c r="AV98" s="15" t="n"/>
      <c r="AW98" s="17" t="inlineStr">
        <is>
          <t>I</t>
        </is>
      </c>
      <c r="AX98" s="17" t="inlineStr">
        <is>
          <t>I</t>
        </is>
      </c>
      <c r="AY98" s="15" t="n"/>
      <c r="AZ98" s="15" t="n"/>
      <c r="BA98" s="15" t="n"/>
      <c r="BB98" s="15" t="n"/>
      <c r="BC98" s="15" t="n"/>
      <c r="BD98" s="15" t="n"/>
      <c r="BE98" s="17" t="inlineStr">
        <is>
          <t>I</t>
        </is>
      </c>
      <c r="BF98" s="19" t="inlineStr">
        <is>
          <t>C</t>
        </is>
      </c>
      <c r="BG98" s="18" t="inlineStr">
        <is>
          <t>E</t>
        </is>
      </c>
      <c r="BH98" s="15" t="n"/>
      <c r="BI98" s="15" t="n"/>
      <c r="BJ98" s="15" t="n"/>
      <c r="BK98" s="15" t="n"/>
      <c r="BL98" s="15" t="n"/>
      <c r="BM98" s="15" t="n"/>
      <c r="BN98" s="15" t="n"/>
      <c r="BO98" s="15" t="n"/>
      <c r="BP98" s="15" t="n"/>
      <c r="BQ98" s="15" t="n"/>
      <c r="BR98" s="15" t="n"/>
      <c r="BS98" s="15" t="n"/>
      <c r="BT98" s="15" t="n"/>
      <c r="BU98" s="15" t="n"/>
      <c r="BV98" s="15" t="n"/>
      <c r="BW98" s="15" t="n"/>
      <c r="BX98" s="15" t="n"/>
      <c r="BY98" s="15" t="n"/>
      <c r="BZ98" s="15" t="n"/>
      <c r="CA98" s="15" t="n"/>
      <c r="CB98" s="15" t="n"/>
      <c r="CC98" s="15" t="n"/>
      <c r="CD98" s="15" t="n"/>
      <c r="CE98" s="15" t="n"/>
      <c r="CF98" s="15" t="n"/>
      <c r="CG98" s="15" t="n"/>
      <c r="CH98" s="15" t="n"/>
      <c r="CI98" s="15" t="n"/>
      <c r="CJ98" s="15" t="n"/>
      <c r="CK98" s="15" t="n"/>
      <c r="CL98" s="15" t="n"/>
      <c r="CM98" s="15" t="n"/>
      <c r="CN98" s="15" t="n"/>
      <c r="CO98" s="15" t="n"/>
      <c r="CP98" s="15" t="n"/>
      <c r="CQ98" s="15" t="n"/>
      <c r="CR98" s="15" t="n"/>
      <c r="CS98" s="15" t="n"/>
      <c r="CT98" s="15" t="n"/>
      <c r="CU98" s="15" t="n"/>
      <c r="CV98" s="15" t="n"/>
      <c r="CW98" s="15" t="n"/>
      <c r="CX98" s="15" t="n"/>
      <c r="CY98" s="15" t="n"/>
      <c r="CZ98" s="15" t="n"/>
      <c r="DA98" s="15" t="n"/>
      <c r="DB98" s="15" t="n"/>
      <c r="DC98" s="15" t="n"/>
      <c r="DD98" s="15" t="n"/>
      <c r="DE98" s="15" t="n"/>
      <c r="DF98" s="15" t="n"/>
      <c r="DG98" s="15" t="n"/>
      <c r="DH98" s="15" t="n"/>
      <c r="DI98" s="15" t="n"/>
      <c r="DJ98" s="15" t="n"/>
      <c r="DK98" s="15" t="n"/>
      <c r="DL98" s="15" t="n"/>
    </row>
    <row r="99">
      <c r="A99" s="14" t="inlineStr">
        <is>
          <t>30(3)(a)(iii)</t>
        </is>
      </c>
      <c r="B99" s="7" t="inlineStr">
        <is>
          <t>MDPA / mining lease by auction - &gt;20 to 30 years</t>
        </is>
      </c>
      <c r="C99" s="15" t="n"/>
      <c r="D99" s="15" t="n"/>
      <c r="E99" s="15" t="n"/>
      <c r="F99" s="15" t="n"/>
      <c r="G99" s="15" t="n"/>
      <c r="H99" s="15" t="n"/>
      <c r="I99" s="15" t="n"/>
      <c r="J99" s="15" t="n"/>
      <c r="K99" s="15" t="n"/>
      <c r="L99" s="15" t="n"/>
      <c r="M99" s="15" t="n"/>
      <c r="N99" s="15" t="n"/>
      <c r="O99" s="15" t="n"/>
      <c r="P99" s="15" t="n"/>
      <c r="Q99" s="15" t="n"/>
      <c r="R99" s="15" t="n"/>
      <c r="S99" s="15" t="n"/>
      <c r="T99" s="15" t="n"/>
      <c r="U99" s="15" t="n"/>
      <c r="V99" s="15" t="n"/>
      <c r="W99" s="15" t="n"/>
      <c r="X99" s="15" t="n"/>
      <c r="Y99" s="15" t="n"/>
      <c r="Z99" s="15" t="n"/>
      <c r="AA99" s="15" t="n"/>
      <c r="AB99" s="15" t="n"/>
      <c r="AC99" s="15" t="n"/>
      <c r="AD99" s="15" t="n"/>
      <c r="AE99" s="15" t="n"/>
      <c r="AF99" s="15" t="n"/>
      <c r="AG99" s="15" t="n"/>
      <c r="AH99" s="15" t="n"/>
      <c r="AI99" s="15" t="n"/>
      <c r="AJ99" s="15" t="n"/>
      <c r="AK99" s="15" t="n"/>
      <c r="AL99" s="15" t="n"/>
      <c r="AM99" s="15" t="n"/>
      <c r="AN99" s="15" t="n"/>
      <c r="AO99" s="15" t="n"/>
      <c r="AP99" s="15" t="n"/>
      <c r="AQ99" s="15" t="n"/>
      <c r="AR99" s="15" t="n"/>
      <c r="AS99" s="15" t="n"/>
      <c r="AT99" s="15" t="n"/>
      <c r="AU99" s="15" t="n"/>
      <c r="AV99" s="15" t="n"/>
      <c r="AW99" s="17" t="inlineStr">
        <is>
          <t>I</t>
        </is>
      </c>
      <c r="AX99" s="17" t="inlineStr">
        <is>
          <t>I</t>
        </is>
      </c>
      <c r="AY99" s="15" t="n"/>
      <c r="AZ99" s="15" t="n"/>
      <c r="BA99" s="15" t="n"/>
      <c r="BB99" s="15" t="n"/>
      <c r="BC99" s="15" t="n"/>
      <c r="BD99" s="15" t="n"/>
      <c r="BE99" s="17" t="inlineStr">
        <is>
          <t>I</t>
        </is>
      </c>
      <c r="BF99" s="19" t="inlineStr">
        <is>
          <t>C</t>
        </is>
      </c>
      <c r="BG99" s="18" t="inlineStr">
        <is>
          <t>E</t>
        </is>
      </c>
      <c r="BH99" s="15" t="n"/>
      <c r="BI99" s="15" t="n"/>
      <c r="BJ99" s="15" t="n"/>
      <c r="BK99" s="15" t="n"/>
      <c r="BL99" s="15" t="n"/>
      <c r="BM99" s="15" t="n"/>
      <c r="BN99" s="15" t="n"/>
      <c r="BO99" s="15" t="n"/>
      <c r="BP99" s="15" t="n"/>
      <c r="BQ99" s="15" t="n"/>
      <c r="BR99" s="15" t="n"/>
      <c r="BS99" s="15" t="n"/>
      <c r="BT99" s="15" t="n"/>
      <c r="BU99" s="15" t="n"/>
      <c r="BV99" s="15" t="n"/>
      <c r="BW99" s="15" t="n"/>
      <c r="BX99" s="15" t="n"/>
      <c r="BY99" s="15" t="n"/>
      <c r="BZ99" s="15" t="n"/>
      <c r="CA99" s="15" t="n"/>
      <c r="CB99" s="15" t="n"/>
      <c r="CC99" s="15" t="n"/>
      <c r="CD99" s="15" t="n"/>
      <c r="CE99" s="15" t="n"/>
      <c r="CF99" s="15" t="n"/>
      <c r="CG99" s="15" t="n"/>
      <c r="CH99" s="15" t="n"/>
      <c r="CI99" s="15" t="n"/>
      <c r="CJ99" s="15" t="n"/>
      <c r="CK99" s="15" t="n"/>
      <c r="CL99" s="15" t="n"/>
      <c r="CM99" s="15" t="n"/>
      <c r="CN99" s="15" t="n"/>
      <c r="CO99" s="15" t="n"/>
      <c r="CP99" s="15" t="n"/>
      <c r="CQ99" s="15" t="n"/>
      <c r="CR99" s="15" t="n"/>
      <c r="CS99" s="15" t="n"/>
      <c r="CT99" s="15" t="n"/>
      <c r="CU99" s="15" t="n"/>
      <c r="CV99" s="15" t="n"/>
      <c r="CW99" s="15" t="n"/>
      <c r="CX99" s="15" t="n"/>
      <c r="CY99" s="15" t="n"/>
      <c r="CZ99" s="15" t="n"/>
      <c r="DA99" s="15" t="n"/>
      <c r="DB99" s="15" t="n"/>
      <c r="DC99" s="15" t="n"/>
      <c r="DD99" s="15" t="n"/>
      <c r="DE99" s="15" t="n"/>
      <c r="DF99" s="15" t="n"/>
      <c r="DG99" s="15" t="n"/>
      <c r="DH99" s="15" t="n"/>
      <c r="DI99" s="15" t="n"/>
      <c r="DJ99" s="15" t="n"/>
      <c r="DK99" s="15" t="n"/>
      <c r="DL99" s="15" t="n"/>
    </row>
    <row r="100">
      <c r="A100" s="14" t="inlineStr">
        <is>
          <t>30(3)(a)(iv)</t>
        </is>
      </c>
      <c r="B100" s="7" t="inlineStr">
        <is>
          <t>MDPA / mining lease by auction - &gt;30 years / perpetual</t>
        </is>
      </c>
      <c r="C100" s="15" t="n"/>
      <c r="D100" s="15" t="n"/>
      <c r="E100" s="15" t="n"/>
      <c r="F100" s="15" t="n"/>
      <c r="G100" s="15" t="n"/>
      <c r="H100" s="15" t="n"/>
      <c r="I100" s="15" t="n"/>
      <c r="J100" s="15" t="n"/>
      <c r="K100" s="15" t="n"/>
      <c r="L100" s="15" t="n"/>
      <c r="M100" s="15" t="n"/>
      <c r="N100" s="15" t="n"/>
      <c r="O100" s="15" t="n"/>
      <c r="P100" s="15" t="n"/>
      <c r="Q100" s="15" t="n"/>
      <c r="R100" s="15" t="n"/>
      <c r="S100" s="15" t="n"/>
      <c r="T100" s="15" t="n"/>
      <c r="U100" s="15" t="n"/>
      <c r="V100" s="15" t="n"/>
      <c r="W100" s="15" t="n"/>
      <c r="X100" s="15" t="n"/>
      <c r="Y100" s="15" t="n"/>
      <c r="Z100" s="15" t="n"/>
      <c r="AA100" s="15" t="n"/>
      <c r="AB100" s="15" t="n"/>
      <c r="AC100" s="15" t="n"/>
      <c r="AD100" s="15" t="n"/>
      <c r="AE100" s="15" t="n"/>
      <c r="AF100" s="15" t="n"/>
      <c r="AG100" s="15" t="n"/>
      <c r="AH100" s="15" t="n"/>
      <c r="AI100" s="15" t="n"/>
      <c r="AJ100" s="15" t="n"/>
      <c r="AK100" s="15" t="n"/>
      <c r="AL100" s="15" t="n"/>
      <c r="AM100" s="15" t="n"/>
      <c r="AN100" s="15" t="n"/>
      <c r="AO100" s="15" t="n"/>
      <c r="AP100" s="15" t="n"/>
      <c r="AQ100" s="15" t="n"/>
      <c r="AR100" s="15" t="n"/>
      <c r="AS100" s="15" t="n"/>
      <c r="AT100" s="15" t="n"/>
      <c r="AU100" s="15" t="n"/>
      <c r="AV100" s="15" t="n"/>
      <c r="AW100" s="17" t="inlineStr">
        <is>
          <t>I</t>
        </is>
      </c>
      <c r="AX100" s="17" t="inlineStr">
        <is>
          <t>I</t>
        </is>
      </c>
      <c r="AY100" s="15" t="n"/>
      <c r="AZ100" s="15" t="n"/>
      <c r="BA100" s="15" t="n"/>
      <c r="BB100" s="15" t="n"/>
      <c r="BC100" s="15" t="n"/>
      <c r="BD100" s="15" t="n"/>
      <c r="BE100" s="17" t="inlineStr">
        <is>
          <t>I</t>
        </is>
      </c>
      <c r="BF100" s="19" t="inlineStr">
        <is>
          <t>C</t>
        </is>
      </c>
      <c r="BG100" s="18" t="inlineStr">
        <is>
          <t>E</t>
        </is>
      </c>
      <c r="BH100" s="15" t="n"/>
      <c r="BI100" s="15" t="n"/>
      <c r="BJ100" s="15" t="n"/>
      <c r="BK100" s="15" t="n"/>
      <c r="BL100" s="15" t="n"/>
      <c r="BM100" s="15" t="n"/>
      <c r="BN100" s="15" t="n"/>
      <c r="BO100" s="15" t="n"/>
      <c r="BP100" s="15" t="n"/>
      <c r="BQ100" s="15" t="n"/>
      <c r="BR100" s="15" t="n"/>
      <c r="BS100" s="15" t="n"/>
      <c r="BT100" s="15" t="n"/>
      <c r="BU100" s="15" t="n"/>
      <c r="BV100" s="15" t="n"/>
      <c r="BW100" s="15" t="n"/>
      <c r="BX100" s="15" t="n"/>
      <c r="BY100" s="15" t="n"/>
      <c r="BZ100" s="15" t="n"/>
      <c r="CA100" s="15" t="n"/>
      <c r="CB100" s="15" t="n"/>
      <c r="CC100" s="15" t="n"/>
      <c r="CD100" s="15" t="n"/>
      <c r="CE100" s="15" t="n"/>
      <c r="CF100" s="15" t="n"/>
      <c r="CG100" s="15" t="n"/>
      <c r="CH100" s="15" t="n"/>
      <c r="CI100" s="15" t="n"/>
      <c r="CJ100" s="15" t="n"/>
      <c r="CK100" s="15" t="n"/>
      <c r="CL100" s="15" t="n"/>
      <c r="CM100" s="15" t="n"/>
      <c r="CN100" s="15" t="n"/>
      <c r="CO100" s="15" t="n"/>
      <c r="CP100" s="15" t="n"/>
      <c r="CQ100" s="15" t="n"/>
      <c r="CR100" s="15" t="n"/>
      <c r="CS100" s="15" t="n"/>
      <c r="CT100" s="15" t="n"/>
      <c r="CU100" s="15" t="n"/>
      <c r="CV100" s="15" t="n"/>
      <c r="CW100" s="15" t="n"/>
      <c r="CX100" s="15" t="n"/>
      <c r="CY100" s="15" t="n"/>
      <c r="CZ100" s="15" t="n"/>
      <c r="DA100" s="15" t="n"/>
      <c r="DB100" s="15" t="n"/>
      <c r="DC100" s="15" t="n"/>
      <c r="DD100" s="15" t="n"/>
      <c r="DE100" s="15" t="n"/>
      <c r="DF100" s="15" t="n"/>
      <c r="DG100" s="15" t="n"/>
      <c r="DH100" s="15" t="n"/>
      <c r="DI100" s="15" t="n"/>
      <c r="DJ100" s="15" t="n"/>
      <c r="DK100" s="15" t="n"/>
      <c r="DL100" s="15" t="n"/>
    </row>
    <row r="101">
      <c r="A101" s="14" t="inlineStr">
        <is>
          <t>30(3)(b)(i)</t>
        </is>
      </c>
      <c r="B101" s="7" t="inlineStr">
        <is>
          <t>MDPA / mining lease other than auction - &gt;1 to 10 years</t>
        </is>
      </c>
      <c r="C101" s="15" t="n"/>
      <c r="D101" s="15" t="n"/>
      <c r="E101" s="15" t="n"/>
      <c r="F101" s="15" t="n"/>
      <c r="G101" s="15" t="n"/>
      <c r="H101" s="15" t="n"/>
      <c r="I101" s="15" t="n"/>
      <c r="J101" s="15" t="n"/>
      <c r="K101" s="15" t="n"/>
      <c r="L101" s="15" t="n"/>
      <c r="M101" s="15" t="n"/>
      <c r="N101" s="15" t="n"/>
      <c r="O101" s="15" t="n"/>
      <c r="P101" s="15" t="n"/>
      <c r="Q101" s="15" t="n"/>
      <c r="R101" s="15" t="n"/>
      <c r="S101" s="15" t="n"/>
      <c r="T101" s="15" t="n"/>
      <c r="U101" s="15" t="n"/>
      <c r="V101" s="15" t="n"/>
      <c r="W101" s="15" t="n"/>
      <c r="X101" s="15" t="n"/>
      <c r="Y101" s="15" t="n"/>
      <c r="Z101" s="15" t="n"/>
      <c r="AA101" s="15" t="n"/>
      <c r="AB101" s="15" t="n"/>
      <c r="AC101" s="15" t="n"/>
      <c r="AD101" s="15" t="n"/>
      <c r="AE101" s="15" t="n"/>
      <c r="AF101" s="15" t="n"/>
      <c r="AG101" s="15" t="n"/>
      <c r="AH101" s="15" t="n"/>
      <c r="AI101" s="15" t="n"/>
      <c r="AJ101" s="15" t="n"/>
      <c r="AK101" s="15" t="n"/>
      <c r="AL101" s="15" t="n"/>
      <c r="AM101" s="15" t="n"/>
      <c r="AN101" s="15" t="n"/>
      <c r="AO101" s="15" t="n"/>
      <c r="AP101" s="15" t="n"/>
      <c r="AQ101" s="15" t="n"/>
      <c r="AR101" s="15" t="n"/>
      <c r="AS101" s="15" t="n"/>
      <c r="AT101" s="15" t="n"/>
      <c r="AU101" s="15" t="n"/>
      <c r="AV101" s="15" t="n"/>
      <c r="AW101" s="17" t="inlineStr">
        <is>
          <t>I</t>
        </is>
      </c>
      <c r="AX101" s="17" t="inlineStr">
        <is>
          <t>I</t>
        </is>
      </c>
      <c r="AY101" s="15" t="n"/>
      <c r="AZ101" s="15" t="n"/>
      <c r="BA101" s="15" t="n"/>
      <c r="BB101" s="15" t="n"/>
      <c r="BC101" s="15" t="n"/>
      <c r="BD101" s="15" t="n"/>
      <c r="BE101" s="17" t="inlineStr">
        <is>
          <t>I</t>
        </is>
      </c>
      <c r="BF101" s="19" t="inlineStr">
        <is>
          <t>C</t>
        </is>
      </c>
      <c r="BG101" s="18" t="inlineStr">
        <is>
          <t>E</t>
        </is>
      </c>
      <c r="BH101" s="15" t="n"/>
      <c r="BI101" s="15" t="n"/>
      <c r="BJ101" s="15" t="n"/>
      <c r="BK101" s="15" t="n"/>
      <c r="BL101" s="15" t="n"/>
      <c r="BM101" s="15" t="n"/>
      <c r="BN101" s="15" t="n"/>
      <c r="BO101" s="15" t="n"/>
      <c r="BP101" s="15" t="n"/>
      <c r="BQ101" s="15" t="n"/>
      <c r="BR101" s="15" t="n"/>
      <c r="BS101" s="15" t="n"/>
      <c r="BT101" s="15" t="n"/>
      <c r="BU101" s="15" t="n"/>
      <c r="BV101" s="15" t="n"/>
      <c r="BW101" s="15" t="n"/>
      <c r="BX101" s="15" t="n"/>
      <c r="BY101" s="15" t="n"/>
      <c r="BZ101" s="15" t="n"/>
      <c r="CA101" s="15" t="n"/>
      <c r="CB101" s="15" t="n"/>
      <c r="CC101" s="15" t="n"/>
      <c r="CD101" s="15" t="n"/>
      <c r="CE101" s="15" t="n"/>
      <c r="CF101" s="15" t="n"/>
      <c r="CG101" s="15" t="n"/>
      <c r="CH101" s="15" t="n"/>
      <c r="CI101" s="15" t="n"/>
      <c r="CJ101" s="15" t="n"/>
      <c r="CK101" s="15" t="n"/>
      <c r="CL101" s="15" t="n"/>
      <c r="CM101" s="15" t="n"/>
      <c r="CN101" s="15" t="n"/>
      <c r="CO101" s="15" t="n"/>
      <c r="CP101" s="15" t="n"/>
      <c r="CQ101" s="15" t="n"/>
      <c r="CR101" s="15" t="n"/>
      <c r="CS101" s="15" t="n"/>
      <c r="CT101" s="15" t="n"/>
      <c r="CU101" s="15" t="n"/>
      <c r="CV101" s="15" t="n"/>
      <c r="CW101" s="15" t="n"/>
      <c r="CX101" s="15" t="n"/>
      <c r="CY101" s="15" t="n"/>
      <c r="CZ101" s="15" t="n"/>
      <c r="DA101" s="15" t="n"/>
      <c r="DB101" s="15" t="n"/>
      <c r="DC101" s="15" t="n"/>
      <c r="DD101" s="15" t="n"/>
      <c r="DE101" s="15" t="n"/>
      <c r="DF101" s="15" t="n"/>
      <c r="DG101" s="15" t="n"/>
      <c r="DH101" s="15" t="n"/>
      <c r="DI101" s="15" t="n"/>
      <c r="DJ101" s="15" t="n"/>
      <c r="DK101" s="15" t="n"/>
      <c r="DL101" s="15" t="n"/>
    </row>
    <row r="102">
      <c r="A102" s="14" t="inlineStr">
        <is>
          <t>30(3)(b)(ii)</t>
        </is>
      </c>
      <c r="B102" s="7" t="inlineStr">
        <is>
          <t>MDPA / mining lease other than auction - &gt;10 to 20 years</t>
        </is>
      </c>
      <c r="C102" s="15" t="n"/>
      <c r="D102" s="15" t="n"/>
      <c r="E102" s="15" t="n"/>
      <c r="F102" s="15" t="n"/>
      <c r="G102" s="15" t="n"/>
      <c r="H102" s="15" t="n"/>
      <c r="I102" s="15" t="n"/>
      <c r="J102" s="15" t="n"/>
      <c r="K102" s="15" t="n"/>
      <c r="L102" s="15" t="n"/>
      <c r="M102" s="15" t="n"/>
      <c r="N102" s="15" t="n"/>
      <c r="O102" s="15" t="n"/>
      <c r="P102" s="15" t="n"/>
      <c r="Q102" s="15" t="n"/>
      <c r="R102" s="15" t="n"/>
      <c r="S102" s="15" t="n"/>
      <c r="T102" s="15" t="n"/>
      <c r="U102" s="15" t="n"/>
      <c r="V102" s="15" t="n"/>
      <c r="W102" s="15" t="n"/>
      <c r="X102" s="15" t="n"/>
      <c r="Y102" s="15" t="n"/>
      <c r="Z102" s="15" t="n"/>
      <c r="AA102" s="15" t="n"/>
      <c r="AB102" s="15" t="n"/>
      <c r="AC102" s="15" t="n"/>
      <c r="AD102" s="15" t="n"/>
      <c r="AE102" s="15" t="n"/>
      <c r="AF102" s="15" t="n"/>
      <c r="AG102" s="15" t="n"/>
      <c r="AH102" s="15" t="n"/>
      <c r="AI102" s="15" t="n"/>
      <c r="AJ102" s="15" t="n"/>
      <c r="AK102" s="15" t="n"/>
      <c r="AL102" s="15" t="n"/>
      <c r="AM102" s="15" t="n"/>
      <c r="AN102" s="15" t="n"/>
      <c r="AO102" s="15" t="n"/>
      <c r="AP102" s="15" t="n"/>
      <c r="AQ102" s="15" t="n"/>
      <c r="AR102" s="15" t="n"/>
      <c r="AS102" s="15" t="n"/>
      <c r="AT102" s="15" t="n"/>
      <c r="AU102" s="15" t="n"/>
      <c r="AV102" s="15" t="n"/>
      <c r="AW102" s="17" t="inlineStr">
        <is>
          <t>I</t>
        </is>
      </c>
      <c r="AX102" s="17" t="inlineStr">
        <is>
          <t>I</t>
        </is>
      </c>
      <c r="AY102" s="15" t="n"/>
      <c r="AZ102" s="15" t="n"/>
      <c r="BA102" s="15" t="n"/>
      <c r="BB102" s="15" t="n"/>
      <c r="BC102" s="15" t="n"/>
      <c r="BD102" s="15" t="n"/>
      <c r="BE102" s="17" t="inlineStr">
        <is>
          <t>I</t>
        </is>
      </c>
      <c r="BF102" s="19" t="inlineStr">
        <is>
          <t>C</t>
        </is>
      </c>
      <c r="BG102" s="18" t="inlineStr">
        <is>
          <t>E</t>
        </is>
      </c>
      <c r="BH102" s="15" t="n"/>
      <c r="BI102" s="15" t="n"/>
      <c r="BJ102" s="15" t="n"/>
      <c r="BK102" s="15" t="n"/>
      <c r="BL102" s="15" t="n"/>
      <c r="BM102" s="15" t="n"/>
      <c r="BN102" s="15" t="n"/>
      <c r="BO102" s="15" t="n"/>
      <c r="BP102" s="15" t="n"/>
      <c r="BQ102" s="15" t="n"/>
      <c r="BR102" s="15" t="n"/>
      <c r="BS102" s="15" t="n"/>
      <c r="BT102" s="15" t="n"/>
      <c r="BU102" s="15" t="n"/>
      <c r="BV102" s="15" t="n"/>
      <c r="BW102" s="15" t="n"/>
      <c r="BX102" s="15" t="n"/>
      <c r="BY102" s="15" t="n"/>
      <c r="BZ102" s="15" t="n"/>
      <c r="CA102" s="15" t="n"/>
      <c r="CB102" s="15" t="n"/>
      <c r="CC102" s="15" t="n"/>
      <c r="CD102" s="15" t="n"/>
      <c r="CE102" s="15" t="n"/>
      <c r="CF102" s="15" t="n"/>
      <c r="CG102" s="15" t="n"/>
      <c r="CH102" s="15" t="n"/>
      <c r="CI102" s="15" t="n"/>
      <c r="CJ102" s="15" t="n"/>
      <c r="CK102" s="15" t="n"/>
      <c r="CL102" s="15" t="n"/>
      <c r="CM102" s="15" t="n"/>
      <c r="CN102" s="15" t="n"/>
      <c r="CO102" s="15" t="n"/>
      <c r="CP102" s="15" t="n"/>
      <c r="CQ102" s="15" t="n"/>
      <c r="CR102" s="15" t="n"/>
      <c r="CS102" s="15" t="n"/>
      <c r="CT102" s="15" t="n"/>
      <c r="CU102" s="15" t="n"/>
      <c r="CV102" s="15" t="n"/>
      <c r="CW102" s="15" t="n"/>
      <c r="CX102" s="15" t="n"/>
      <c r="CY102" s="15" t="n"/>
      <c r="CZ102" s="15" t="n"/>
      <c r="DA102" s="15" t="n"/>
      <c r="DB102" s="15" t="n"/>
      <c r="DC102" s="15" t="n"/>
      <c r="DD102" s="15" t="n"/>
      <c r="DE102" s="15" t="n"/>
      <c r="DF102" s="15" t="n"/>
      <c r="DG102" s="15" t="n"/>
      <c r="DH102" s="15" t="n"/>
      <c r="DI102" s="15" t="n"/>
      <c r="DJ102" s="15" t="n"/>
      <c r="DK102" s="15" t="n"/>
      <c r="DL102" s="15" t="n"/>
    </row>
    <row r="103">
      <c r="A103" s="14" t="inlineStr">
        <is>
          <t>30(3)(b)(iii)</t>
        </is>
      </c>
      <c r="B103" s="7" t="inlineStr">
        <is>
          <t>MDPA / mining lease other than auction - &gt;20 to 30 years</t>
        </is>
      </c>
      <c r="C103" s="15" t="n"/>
      <c r="D103" s="15" t="n"/>
      <c r="E103" s="15" t="n"/>
      <c r="F103" s="15" t="n"/>
      <c r="G103" s="15" t="n"/>
      <c r="H103" s="15" t="n"/>
      <c r="I103" s="15" t="n"/>
      <c r="J103" s="15" t="n"/>
      <c r="K103" s="15" t="n"/>
      <c r="L103" s="15" t="n"/>
      <c r="M103" s="15" t="n"/>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c r="AH103" s="15" t="n"/>
      <c r="AI103" s="15" t="n"/>
      <c r="AJ103" s="15" t="n"/>
      <c r="AK103" s="15" t="n"/>
      <c r="AL103" s="15" t="n"/>
      <c r="AM103" s="15" t="n"/>
      <c r="AN103" s="15" t="n"/>
      <c r="AO103" s="15" t="n"/>
      <c r="AP103" s="15" t="n"/>
      <c r="AQ103" s="15" t="n"/>
      <c r="AR103" s="15" t="n"/>
      <c r="AS103" s="15" t="n"/>
      <c r="AT103" s="15" t="n"/>
      <c r="AU103" s="15" t="n"/>
      <c r="AV103" s="15" t="n"/>
      <c r="AW103" s="17" t="inlineStr">
        <is>
          <t>I</t>
        </is>
      </c>
      <c r="AX103" s="17" t="inlineStr">
        <is>
          <t>I</t>
        </is>
      </c>
      <c r="AY103" s="15" t="n"/>
      <c r="AZ103" s="15" t="n"/>
      <c r="BA103" s="15" t="n"/>
      <c r="BB103" s="15" t="n"/>
      <c r="BC103" s="15" t="n"/>
      <c r="BD103" s="15" t="n"/>
      <c r="BE103" s="17" t="inlineStr">
        <is>
          <t>I</t>
        </is>
      </c>
      <c r="BF103" s="19" t="inlineStr">
        <is>
          <t>C</t>
        </is>
      </c>
      <c r="BG103" s="18" t="inlineStr">
        <is>
          <t>E</t>
        </is>
      </c>
      <c r="BH103" s="15" t="n"/>
      <c r="BI103" s="15" t="n"/>
      <c r="BJ103" s="15" t="n"/>
      <c r="BK103" s="15" t="n"/>
      <c r="BL103" s="15" t="n"/>
      <c r="BM103" s="15" t="n"/>
      <c r="BN103" s="15" t="n"/>
      <c r="BO103" s="15" t="n"/>
      <c r="BP103" s="15" t="n"/>
      <c r="BQ103" s="15" t="n"/>
      <c r="BR103" s="15" t="n"/>
      <c r="BS103" s="15" t="n"/>
      <c r="BT103" s="15" t="n"/>
      <c r="BU103" s="15" t="n"/>
      <c r="BV103" s="15" t="n"/>
      <c r="BW103" s="15" t="n"/>
      <c r="BX103" s="15" t="n"/>
      <c r="BY103" s="15" t="n"/>
      <c r="BZ103" s="15" t="n"/>
      <c r="CA103" s="15" t="n"/>
      <c r="CB103" s="15" t="n"/>
      <c r="CC103" s="15" t="n"/>
      <c r="CD103" s="15" t="n"/>
      <c r="CE103" s="15" t="n"/>
      <c r="CF103" s="15" t="n"/>
      <c r="CG103" s="15" t="n"/>
      <c r="CH103" s="15" t="n"/>
      <c r="CI103" s="15" t="n"/>
      <c r="CJ103" s="15" t="n"/>
      <c r="CK103" s="15" t="n"/>
      <c r="CL103" s="15" t="n"/>
      <c r="CM103" s="15" t="n"/>
      <c r="CN103" s="15" t="n"/>
      <c r="CO103" s="15" t="n"/>
      <c r="CP103" s="15" t="n"/>
      <c r="CQ103" s="15" t="n"/>
      <c r="CR103" s="15" t="n"/>
      <c r="CS103" s="15" t="n"/>
      <c r="CT103" s="15" t="n"/>
      <c r="CU103" s="15" t="n"/>
      <c r="CV103" s="15" t="n"/>
      <c r="CW103" s="15" t="n"/>
      <c r="CX103" s="15" t="n"/>
      <c r="CY103" s="15" t="n"/>
      <c r="CZ103" s="15" t="n"/>
      <c r="DA103" s="15" t="n"/>
      <c r="DB103" s="15" t="n"/>
      <c r="DC103" s="15" t="n"/>
      <c r="DD103" s="15" t="n"/>
      <c r="DE103" s="15" t="n"/>
      <c r="DF103" s="15" t="n"/>
      <c r="DG103" s="15" t="n"/>
      <c r="DH103" s="15" t="n"/>
      <c r="DI103" s="15" t="n"/>
      <c r="DJ103" s="15" t="n"/>
      <c r="DK103" s="15" t="n"/>
      <c r="DL103" s="15" t="n"/>
    </row>
    <row r="104">
      <c r="A104" s="14" t="inlineStr">
        <is>
          <t>30(3)(b)(iv)</t>
        </is>
      </c>
      <c r="B104" s="7" t="inlineStr">
        <is>
          <t>MDPA / mining lease other than auction - &gt;30 years / perpetual</t>
        </is>
      </c>
      <c r="C104" s="15" t="n"/>
      <c r="D104" s="15" t="n"/>
      <c r="E104" s="15" t="n"/>
      <c r="F104" s="15" t="n"/>
      <c r="G104" s="15" t="n"/>
      <c r="H104" s="15" t="n"/>
      <c r="I104" s="15" t="n"/>
      <c r="J104" s="15" t="n"/>
      <c r="K104" s="15" t="n"/>
      <c r="L104" s="15" t="n"/>
      <c r="M104" s="15" t="n"/>
      <c r="N104" s="15" t="n"/>
      <c r="O104" s="15" t="n"/>
      <c r="P104" s="15" t="n"/>
      <c r="Q104" s="15" t="n"/>
      <c r="R104" s="15" t="n"/>
      <c r="S104" s="15" t="n"/>
      <c r="T104" s="15" t="n"/>
      <c r="U104" s="15" t="n"/>
      <c r="V104" s="15" t="n"/>
      <c r="W104" s="15" t="n"/>
      <c r="X104" s="15" t="n"/>
      <c r="Y104" s="15" t="n"/>
      <c r="Z104" s="15" t="n"/>
      <c r="AA104" s="15" t="n"/>
      <c r="AB104" s="15" t="n"/>
      <c r="AC104" s="15" t="n"/>
      <c r="AD104" s="15" t="n"/>
      <c r="AE104" s="15" t="n"/>
      <c r="AF104" s="15" t="n"/>
      <c r="AG104" s="15" t="n"/>
      <c r="AH104" s="15" t="n"/>
      <c r="AI104" s="15" t="n"/>
      <c r="AJ104" s="15" t="n"/>
      <c r="AK104" s="15" t="n"/>
      <c r="AL104" s="15" t="n"/>
      <c r="AM104" s="15" t="n"/>
      <c r="AN104" s="15" t="n"/>
      <c r="AO104" s="15" t="n"/>
      <c r="AP104" s="15" t="n"/>
      <c r="AQ104" s="15" t="n"/>
      <c r="AR104" s="15" t="n"/>
      <c r="AS104" s="15" t="n"/>
      <c r="AT104" s="15" t="n"/>
      <c r="AU104" s="15" t="n"/>
      <c r="AV104" s="15" t="n"/>
      <c r="AW104" s="17" t="inlineStr">
        <is>
          <t>I</t>
        </is>
      </c>
      <c r="AX104" s="17" t="inlineStr">
        <is>
          <t>I</t>
        </is>
      </c>
      <c r="AY104" s="15" t="n"/>
      <c r="AZ104" s="15" t="n"/>
      <c r="BA104" s="15" t="n"/>
      <c r="BB104" s="15" t="n"/>
      <c r="BC104" s="15" t="n"/>
      <c r="BD104" s="15" t="n"/>
      <c r="BE104" s="17" t="inlineStr">
        <is>
          <t>I</t>
        </is>
      </c>
      <c r="BF104" s="19" t="inlineStr">
        <is>
          <t>C</t>
        </is>
      </c>
      <c r="BG104" s="18" t="inlineStr">
        <is>
          <t>E</t>
        </is>
      </c>
      <c r="BH104" s="15" t="n"/>
      <c r="BI104" s="15" t="n"/>
      <c r="BJ104" s="15" t="n"/>
      <c r="BK104" s="15" t="n"/>
      <c r="BL104" s="15" t="n"/>
      <c r="BM104" s="15" t="n"/>
      <c r="BN104" s="15" t="n"/>
      <c r="BO104" s="15" t="n"/>
      <c r="BP104" s="15" t="n"/>
      <c r="BQ104" s="15" t="n"/>
      <c r="BR104" s="15" t="n"/>
      <c r="BS104" s="15" t="n"/>
      <c r="BT104" s="15" t="n"/>
      <c r="BU104" s="15" t="n"/>
      <c r="BV104" s="15" t="n"/>
      <c r="BW104" s="15" t="n"/>
      <c r="BX104" s="15" t="n"/>
      <c r="BY104" s="15" t="n"/>
      <c r="BZ104" s="15" t="n"/>
      <c r="CA104" s="15" t="n"/>
      <c r="CB104" s="15" t="n"/>
      <c r="CC104" s="15" t="n"/>
      <c r="CD104" s="15" t="n"/>
      <c r="CE104" s="15" t="n"/>
      <c r="CF104" s="15" t="n"/>
      <c r="CG104" s="15" t="n"/>
      <c r="CH104" s="15" t="n"/>
      <c r="CI104" s="15" t="n"/>
      <c r="CJ104" s="15" t="n"/>
      <c r="CK104" s="15" t="n"/>
      <c r="CL104" s="15" t="n"/>
      <c r="CM104" s="15" t="n"/>
      <c r="CN104" s="15" t="n"/>
      <c r="CO104" s="15" t="n"/>
      <c r="CP104" s="15" t="n"/>
      <c r="CQ104" s="15" t="n"/>
      <c r="CR104" s="15" t="n"/>
      <c r="CS104" s="15" t="n"/>
      <c r="CT104" s="15" t="n"/>
      <c r="CU104" s="15" t="n"/>
      <c r="CV104" s="15" t="n"/>
      <c r="CW104" s="15" t="n"/>
      <c r="CX104" s="15" t="n"/>
      <c r="CY104" s="15" t="n"/>
      <c r="CZ104" s="15" t="n"/>
      <c r="DA104" s="15" t="n"/>
      <c r="DB104" s="15" t="n"/>
      <c r="DC104" s="15" t="n"/>
      <c r="DD104" s="15" t="n"/>
      <c r="DE104" s="15" t="n"/>
      <c r="DF104" s="15" t="n"/>
      <c r="DG104" s="15" t="n"/>
      <c r="DH104" s="15" t="n"/>
      <c r="DI104" s="15" t="n"/>
      <c r="DJ104" s="15" t="n"/>
      <c r="DK104" s="15" t="n"/>
      <c r="DL104" s="15" t="n"/>
    </row>
    <row r="105">
      <c r="A105" s="14" t="inlineStr">
        <is>
          <t>31</t>
        </is>
      </c>
      <c r="B105" s="7" t="inlineStr">
        <is>
          <t>Letter of allotment of shares / loan</t>
        </is>
      </c>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c r="AH105" s="15" t="n"/>
      <c r="AI105" s="15" t="n"/>
      <c r="AJ105" s="15" t="n"/>
      <c r="AK105" s="15" t="n"/>
      <c r="AL105" s="15" t="n"/>
      <c r="AM105" s="15" t="n"/>
      <c r="AN105" s="15" t="n"/>
      <c r="AO105" s="15" t="n"/>
      <c r="AP105" s="15" t="n"/>
      <c r="AQ105" s="15" t="n"/>
      <c r="AR105" s="15" t="n"/>
      <c r="AS105" s="15" t="n"/>
      <c r="AT105" s="15" t="n"/>
      <c r="AU105" s="15" t="n"/>
      <c r="AV105" s="15" t="n"/>
      <c r="AW105" s="15" t="n"/>
      <c r="AX105" s="15" t="n"/>
      <c r="AY105" s="15" t="n"/>
      <c r="AZ105" s="15" t="n"/>
      <c r="BA105" s="15" t="n"/>
      <c r="BB105" s="15" t="n"/>
      <c r="BC105" s="15" t="n"/>
      <c r="BD105" s="15" t="n"/>
      <c r="BE105" s="15" t="n"/>
      <c r="BF105" s="15" t="n"/>
      <c r="BG105" s="15" t="n"/>
      <c r="BH105" s="15" t="n"/>
      <c r="BI105" s="15" t="n"/>
      <c r="BJ105" s="15" t="n"/>
      <c r="BK105" s="15" t="n"/>
      <c r="BL105" s="15" t="n"/>
      <c r="BM105" s="15" t="n"/>
      <c r="BN105" s="15" t="n"/>
      <c r="BO105" s="15" t="n"/>
      <c r="BP105" s="15" t="n"/>
      <c r="BQ105" s="15" t="n"/>
      <c r="BR105" s="15" t="n"/>
      <c r="BS105" s="15" t="n"/>
      <c r="BT105" s="15" t="n"/>
      <c r="BU105" s="15" t="n"/>
      <c r="BV105" s="15" t="n"/>
      <c r="BW105" s="15" t="n"/>
      <c r="BX105" s="15" t="n"/>
      <c r="BY105" s="15" t="n"/>
      <c r="BZ105" s="15" t="n"/>
      <c r="CA105" s="15" t="n"/>
      <c r="CB105" s="15" t="n"/>
      <c r="CC105" s="15" t="n"/>
      <c r="CD105" s="15" t="n"/>
      <c r="CE105" s="15" t="n"/>
      <c r="CF105" s="15" t="n"/>
      <c r="CG105" s="15" t="n"/>
      <c r="CH105" s="15" t="n"/>
      <c r="CI105" s="15" t="n"/>
      <c r="CJ105" s="15" t="n"/>
      <c r="CK105" s="15" t="n"/>
      <c r="CL105" s="15" t="n"/>
      <c r="CM105" s="15" t="n"/>
      <c r="CN105" s="15" t="n"/>
      <c r="CO105" s="15" t="n"/>
      <c r="CP105" s="15" t="n"/>
      <c r="CQ105" s="15" t="n"/>
      <c r="CR105" s="15" t="n"/>
      <c r="CS105" s="15" t="n"/>
      <c r="CT105" s="15" t="n"/>
      <c r="CU105" s="15" t="n"/>
      <c r="CV105" s="15" t="n"/>
      <c r="CW105" s="15" t="n"/>
      <c r="CX105" s="15" t="n"/>
      <c r="CY105" s="15" t="n"/>
      <c r="CZ105" s="15" t="n"/>
      <c r="DA105" s="15" t="n"/>
      <c r="DB105" s="15" t="n"/>
      <c r="DC105" s="15" t="n"/>
      <c r="DD105" s="15" t="n"/>
      <c r="DE105" s="15" t="n"/>
      <c r="DF105" s="15" t="n"/>
      <c r="DG105" s="15" t="n"/>
      <c r="DH105" s="15" t="n"/>
      <c r="DI105" s="15" t="n"/>
      <c r="DJ105" s="15" t="n"/>
      <c r="DK105" s="15" t="n"/>
      <c r="DL105" s="15" t="n"/>
    </row>
    <row r="106">
      <c r="A106" s="14" t="inlineStr">
        <is>
          <t>32</t>
        </is>
      </c>
      <c r="B106" s="7" t="inlineStr">
        <is>
          <t>Letter of licence (creditors suspend claims)</t>
        </is>
      </c>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c r="V106" s="15" t="n"/>
      <c r="W106" s="15" t="n"/>
      <c r="X106" s="15" t="n"/>
      <c r="Y106" s="15" t="n"/>
      <c r="Z106" s="15" t="n"/>
      <c r="AA106" s="15" t="n"/>
      <c r="AB106" s="15" t="n"/>
      <c r="AC106" s="15" t="n"/>
      <c r="AD106" s="15" t="n"/>
      <c r="AE106" s="15" t="n"/>
      <c r="AF106" s="15" t="n"/>
      <c r="AG106" s="15" t="n"/>
      <c r="AH106" s="15" t="n"/>
      <c r="AI106" s="15" t="n"/>
      <c r="AJ106" s="15" t="n"/>
      <c r="AK106" s="15" t="n"/>
      <c r="AL106" s="15" t="n"/>
      <c r="AM106" s="15" t="n"/>
      <c r="AN106" s="15" t="n"/>
      <c r="AO106" s="15" t="n"/>
      <c r="AP106" s="15" t="n"/>
      <c r="AQ106" s="15" t="n"/>
      <c r="AR106" s="15" t="n"/>
      <c r="AS106" s="15" t="n"/>
      <c r="AT106" s="15" t="n"/>
      <c r="AU106" s="15" t="n"/>
      <c r="AV106" s="15" t="n"/>
      <c r="AW106" s="15" t="n"/>
      <c r="AX106" s="15" t="n"/>
      <c r="AY106" s="15" t="n"/>
      <c r="AZ106" s="15" t="n"/>
      <c r="BA106" s="15" t="n"/>
      <c r="BB106" s="15" t="n"/>
      <c r="BC106" s="15" t="n"/>
      <c r="BD106" s="15" t="n"/>
      <c r="BE106" s="15" t="n"/>
      <c r="BF106" s="15" t="n"/>
      <c r="BG106" s="15" t="n"/>
      <c r="BH106" s="15" t="n"/>
      <c r="BI106" s="15" t="n"/>
      <c r="BJ106" s="15" t="n"/>
      <c r="BK106" s="15" t="n"/>
      <c r="BL106" s="15" t="n"/>
      <c r="BM106" s="15" t="n"/>
      <c r="BN106" s="15" t="n"/>
      <c r="BO106" s="15" t="n"/>
      <c r="BP106" s="15" t="n"/>
      <c r="BQ106" s="15" t="n"/>
      <c r="BR106" s="15" t="n"/>
      <c r="BS106" s="15" t="n"/>
      <c r="BT106" s="15" t="n"/>
      <c r="BU106" s="15" t="n"/>
      <c r="BV106" s="15" t="n"/>
      <c r="BW106" s="15" t="n"/>
      <c r="BX106" s="15" t="n"/>
      <c r="BY106" s="15" t="n"/>
      <c r="BZ106" s="15" t="n"/>
      <c r="CA106" s="15" t="n"/>
      <c r="CB106" s="15" t="n"/>
      <c r="CC106" s="15" t="n"/>
      <c r="CD106" s="15" t="n"/>
      <c r="CE106" s="15" t="n"/>
      <c r="CF106" s="15" t="n"/>
      <c r="CG106" s="15" t="n"/>
      <c r="CH106" s="15" t="n"/>
      <c r="CI106" s="15" t="n"/>
      <c r="CJ106" s="15" t="n"/>
      <c r="CK106" s="15" t="n"/>
      <c r="CL106" s="15" t="n"/>
      <c r="CM106" s="15" t="n"/>
      <c r="CN106" s="15" t="n"/>
      <c r="CO106" s="15" t="n"/>
      <c r="CP106" s="15" t="n"/>
      <c r="CQ106" s="15" t="n"/>
      <c r="CR106" s="15" t="n"/>
      <c r="CS106" s="15" t="n"/>
      <c r="CT106" s="15" t="n"/>
      <c r="CU106" s="15" t="n"/>
      <c r="CV106" s="15" t="n"/>
      <c r="CW106" s="15" t="n"/>
      <c r="CX106" s="15" t="n"/>
      <c r="CY106" s="15" t="n"/>
      <c r="CZ106" s="15" t="n"/>
      <c r="DA106" s="15" t="n"/>
      <c r="DB106" s="15" t="n"/>
      <c r="DC106" s="15" t="n"/>
      <c r="DD106" s="15" t="n"/>
      <c r="DE106" s="15" t="n"/>
      <c r="DF106" s="15" t="n"/>
      <c r="DG106" s="15" t="n"/>
      <c r="DH106" s="15" t="n"/>
      <c r="DI106" s="15" t="n"/>
      <c r="DJ106" s="15" t="n"/>
      <c r="DK106" s="15" t="n"/>
      <c r="DL106" s="15" t="n"/>
    </row>
    <row r="107">
      <c r="A107" s="14" t="inlineStr">
        <is>
          <t>32-A(i)</t>
        </is>
      </c>
      <c r="B107" s="7" t="inlineStr">
        <is>
          <t>Licence - up to 1 year, residential</t>
        </is>
      </c>
      <c r="C107" s="15" t="n"/>
      <c r="D107" s="15" t="n"/>
      <c r="E107" s="15" t="n"/>
      <c r="F107" s="15" t="n"/>
      <c r="G107" s="15" t="n"/>
      <c r="H107" s="15" t="n"/>
      <c r="I107" s="15" t="n"/>
      <c r="J107" s="15" t="n"/>
      <c r="K107" s="15" t="n"/>
      <c r="L107" s="15" t="n"/>
      <c r="M107" s="17" t="inlineStr">
        <is>
          <t>I</t>
        </is>
      </c>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c r="AH107" s="15" t="n"/>
      <c r="AI107" s="15" t="n"/>
      <c r="AJ107" s="15" t="n"/>
      <c r="AK107" s="15" t="n"/>
      <c r="AL107" s="15" t="n"/>
      <c r="AM107" s="15" t="n"/>
      <c r="AN107" s="15" t="n"/>
      <c r="AO107" s="15" t="n"/>
      <c r="AP107" s="15" t="n"/>
      <c r="AQ107" s="15" t="n"/>
      <c r="AR107" s="15" t="n"/>
      <c r="AS107" s="15" t="n"/>
      <c r="AT107" s="15" t="n"/>
      <c r="AU107" s="15" t="n"/>
      <c r="AV107" s="15" t="n"/>
      <c r="AW107" s="15" t="n"/>
      <c r="AX107" s="17" t="inlineStr">
        <is>
          <t>I</t>
        </is>
      </c>
      <c r="AY107" s="19" t="inlineStr">
        <is>
          <t>C</t>
        </is>
      </c>
      <c r="AZ107" s="19" t="inlineStr">
        <is>
          <t>C</t>
        </is>
      </c>
      <c r="BA107" s="19" t="inlineStr">
        <is>
          <t>C</t>
        </is>
      </c>
      <c r="BB107" s="15" t="n"/>
      <c r="BC107" s="15" t="n"/>
      <c r="BD107" s="15" t="n"/>
      <c r="BE107" s="15" t="n"/>
      <c r="BF107" s="15" t="n"/>
      <c r="BG107" s="15" t="n"/>
      <c r="BH107" s="15" t="n"/>
      <c r="BI107" s="15" t="n"/>
      <c r="BJ107" s="15" t="n"/>
      <c r="BK107" s="15" t="n"/>
      <c r="BL107" s="15" t="n"/>
      <c r="BM107" s="15" t="n"/>
      <c r="BN107" s="15" t="n"/>
      <c r="BO107" s="15" t="n"/>
      <c r="BP107" s="15" t="n"/>
      <c r="BQ107" s="15" t="n"/>
      <c r="BR107" s="15" t="n"/>
      <c r="BS107" s="15" t="n"/>
      <c r="BT107" s="15" t="n"/>
      <c r="BU107" s="15" t="n"/>
      <c r="BV107" s="15" t="n"/>
      <c r="BW107" s="15" t="n"/>
      <c r="BX107" s="15" t="n"/>
      <c r="BY107" s="15" t="n"/>
      <c r="BZ107" s="15" t="n"/>
      <c r="CA107" s="15" t="n"/>
      <c r="CB107" s="15" t="n"/>
      <c r="CC107" s="15" t="n"/>
      <c r="CD107" s="15" t="n"/>
      <c r="CE107" s="15" t="n"/>
      <c r="CF107" s="15" t="n"/>
      <c r="CG107" s="15" t="n"/>
      <c r="CH107" s="15" t="n"/>
      <c r="CI107" s="15" t="n"/>
      <c r="CJ107" s="15" t="n"/>
      <c r="CK107" s="15" t="n"/>
      <c r="CL107" s="15" t="n"/>
      <c r="CM107" s="15" t="n"/>
      <c r="CN107" s="15" t="n"/>
      <c r="CO107" s="15" t="n"/>
      <c r="CP107" s="15" t="n"/>
      <c r="CQ107" s="15" t="n"/>
      <c r="CR107" s="15" t="n"/>
      <c r="CS107" s="15" t="n"/>
      <c r="CT107" s="15" t="n"/>
      <c r="CU107" s="15" t="n"/>
      <c r="CV107" s="15" t="n"/>
      <c r="CW107" s="15" t="n"/>
      <c r="CX107" s="15" t="n"/>
      <c r="CY107" s="15" t="n"/>
      <c r="CZ107" s="15" t="n"/>
      <c r="DA107" s="15" t="n"/>
      <c r="DB107" s="15" t="n"/>
      <c r="DC107" s="15" t="n"/>
      <c r="DD107" s="15" t="n"/>
      <c r="DE107" s="15" t="n"/>
      <c r="DF107" s="15" t="n"/>
      <c r="DG107" s="15" t="n"/>
      <c r="DH107" s="15" t="n"/>
      <c r="DI107" s="15" t="n"/>
      <c r="DJ107" s="15" t="n"/>
      <c r="DK107" s="15" t="n"/>
      <c r="DL107" s="15" t="n"/>
    </row>
    <row r="108">
      <c r="A108" s="14" t="inlineStr">
        <is>
          <t>32-A(ii)</t>
        </is>
      </c>
      <c r="B108" s="7" t="inlineStr">
        <is>
          <t>Licence - up to 1 year, commercial / industrial</t>
        </is>
      </c>
      <c r="C108" s="15" t="n"/>
      <c r="D108" s="15" t="n"/>
      <c r="E108" s="15" t="n"/>
      <c r="F108" s="15" t="n"/>
      <c r="G108" s="15" t="n"/>
      <c r="H108" s="15" t="n"/>
      <c r="I108" s="15" t="n"/>
      <c r="J108" s="15" t="n"/>
      <c r="K108" s="15" t="n"/>
      <c r="L108" s="15" t="n"/>
      <c r="M108" s="17" t="inlineStr">
        <is>
          <t>I</t>
        </is>
      </c>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c r="AH108" s="15" t="n"/>
      <c r="AI108" s="15" t="n"/>
      <c r="AJ108" s="15" t="n"/>
      <c r="AK108" s="15" t="n"/>
      <c r="AL108" s="15" t="n"/>
      <c r="AM108" s="15" t="n"/>
      <c r="AN108" s="15" t="n"/>
      <c r="AO108" s="15" t="n"/>
      <c r="AP108" s="15" t="n"/>
      <c r="AQ108" s="15" t="n"/>
      <c r="AR108" s="15" t="n"/>
      <c r="AS108" s="15" t="n"/>
      <c r="AT108" s="15" t="n"/>
      <c r="AU108" s="15" t="n"/>
      <c r="AV108" s="15" t="n"/>
      <c r="AW108" s="15" t="n"/>
      <c r="AX108" s="17" t="inlineStr">
        <is>
          <t>I</t>
        </is>
      </c>
      <c r="AY108" s="19" t="inlineStr">
        <is>
          <t>C</t>
        </is>
      </c>
      <c r="AZ108" s="19" t="inlineStr">
        <is>
          <t>C</t>
        </is>
      </c>
      <c r="BA108" s="19" t="inlineStr">
        <is>
          <t>C</t>
        </is>
      </c>
      <c r="BB108" s="15" t="n"/>
      <c r="BC108" s="15" t="n"/>
      <c r="BD108" s="15" t="n"/>
      <c r="BE108" s="15" t="n"/>
      <c r="BF108" s="15" t="n"/>
      <c r="BG108" s="15" t="n"/>
      <c r="BH108" s="15" t="n"/>
      <c r="BI108" s="15" t="n"/>
      <c r="BJ108" s="15" t="n"/>
      <c r="BK108" s="15" t="n"/>
      <c r="BL108" s="15" t="n"/>
      <c r="BM108" s="15" t="n"/>
      <c r="BN108" s="15" t="n"/>
      <c r="BO108" s="15" t="n"/>
      <c r="BP108" s="15" t="n"/>
      <c r="BQ108" s="15" t="n"/>
      <c r="BR108" s="15" t="n"/>
      <c r="BS108" s="15" t="n"/>
      <c r="BT108" s="15" t="n"/>
      <c r="BU108" s="15" t="n"/>
      <c r="BV108" s="15" t="n"/>
      <c r="BW108" s="15" t="n"/>
      <c r="BX108" s="15" t="n"/>
      <c r="BY108" s="15" t="n"/>
      <c r="BZ108" s="15" t="n"/>
      <c r="CA108" s="15" t="n"/>
      <c r="CB108" s="15" t="n"/>
      <c r="CC108" s="15" t="n"/>
      <c r="CD108" s="15" t="n"/>
      <c r="CE108" s="15" t="n"/>
      <c r="CF108" s="15" t="n"/>
      <c r="CG108" s="15" t="n"/>
      <c r="CH108" s="15" t="n"/>
      <c r="CI108" s="15" t="n"/>
      <c r="CJ108" s="15" t="n"/>
      <c r="CK108" s="15" t="n"/>
      <c r="CL108" s="15" t="n"/>
      <c r="CM108" s="15" t="n"/>
      <c r="CN108" s="15" t="n"/>
      <c r="CO108" s="15" t="n"/>
      <c r="CP108" s="15" t="n"/>
      <c r="CQ108" s="15" t="n"/>
      <c r="CR108" s="15" t="n"/>
      <c r="CS108" s="15" t="n"/>
      <c r="CT108" s="15" t="n"/>
      <c r="CU108" s="15" t="n"/>
      <c r="CV108" s="15" t="n"/>
      <c r="CW108" s="15" t="n"/>
      <c r="CX108" s="15" t="n"/>
      <c r="CY108" s="15" t="n"/>
      <c r="CZ108" s="15" t="n"/>
      <c r="DA108" s="15" t="n"/>
      <c r="DB108" s="15" t="n"/>
      <c r="DC108" s="15" t="n"/>
      <c r="DD108" s="15" t="n"/>
      <c r="DE108" s="15" t="n"/>
      <c r="DF108" s="15" t="n"/>
      <c r="DG108" s="15" t="n"/>
      <c r="DH108" s="15" t="n"/>
      <c r="DI108" s="15" t="n"/>
      <c r="DJ108" s="15" t="n"/>
      <c r="DK108" s="15" t="n"/>
      <c r="DL108" s="15" t="n"/>
    </row>
    <row r="109">
      <c r="A109" s="14" t="inlineStr">
        <is>
          <t>32-A(iii)</t>
        </is>
      </c>
      <c r="B109" s="7" t="inlineStr">
        <is>
          <t>Licence - &gt;1 to 10 years</t>
        </is>
      </c>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c r="AH109" s="15" t="n"/>
      <c r="AI109" s="15" t="n"/>
      <c r="AJ109" s="15" t="n"/>
      <c r="AK109" s="15" t="n"/>
      <c r="AL109" s="15" t="n"/>
      <c r="AM109" s="15" t="n"/>
      <c r="AN109" s="15" t="n"/>
      <c r="AO109" s="15" t="n"/>
      <c r="AP109" s="15" t="n"/>
      <c r="AQ109" s="15" t="n"/>
      <c r="AR109" s="15" t="n"/>
      <c r="AS109" s="15" t="n"/>
      <c r="AT109" s="15" t="n"/>
      <c r="AU109" s="15" t="n"/>
      <c r="AV109" s="15" t="n"/>
      <c r="AW109" s="15" t="n"/>
      <c r="AX109" s="17" t="inlineStr">
        <is>
          <t>I</t>
        </is>
      </c>
      <c r="AY109" s="19" t="inlineStr">
        <is>
          <t>C</t>
        </is>
      </c>
      <c r="AZ109" s="19" t="inlineStr">
        <is>
          <t>C</t>
        </is>
      </c>
      <c r="BA109" s="19" t="inlineStr">
        <is>
          <t>C</t>
        </is>
      </c>
      <c r="BB109" s="15" t="n"/>
      <c r="BC109" s="15" t="n"/>
      <c r="BD109" s="15" t="n"/>
      <c r="BE109" s="15" t="n"/>
      <c r="BF109" s="15" t="n"/>
      <c r="BG109" s="15" t="n"/>
      <c r="BH109" s="15" t="n"/>
      <c r="BI109" s="15" t="n"/>
      <c r="BJ109" s="15" t="n"/>
      <c r="BK109" s="15" t="n"/>
      <c r="BL109" s="15" t="n"/>
      <c r="BM109" s="15" t="n"/>
      <c r="BN109" s="15" t="n"/>
      <c r="BO109" s="15" t="n"/>
      <c r="BP109" s="15" t="n"/>
      <c r="BQ109" s="15" t="n"/>
      <c r="BR109" s="15" t="n"/>
      <c r="BS109" s="15" t="n"/>
      <c r="BT109" s="15" t="n"/>
      <c r="BU109" s="15" t="n"/>
      <c r="BV109" s="15" t="n"/>
      <c r="BW109" s="15" t="n"/>
      <c r="BX109" s="15" t="n"/>
      <c r="BY109" s="15" t="n"/>
      <c r="BZ109" s="15" t="n"/>
      <c r="CA109" s="15" t="n"/>
      <c r="CB109" s="15" t="n"/>
      <c r="CC109" s="15" t="n"/>
      <c r="CD109" s="15" t="n"/>
      <c r="CE109" s="15" t="n"/>
      <c r="CF109" s="15" t="n"/>
      <c r="CG109" s="15" t="n"/>
      <c r="CH109" s="15" t="n"/>
      <c r="CI109" s="15" t="n"/>
      <c r="CJ109" s="15" t="n"/>
      <c r="CK109" s="15" t="n"/>
      <c r="CL109" s="15" t="n"/>
      <c r="CM109" s="15" t="n"/>
      <c r="CN109" s="15" t="n"/>
      <c r="CO109" s="15" t="n"/>
      <c r="CP109" s="15" t="n"/>
      <c r="CQ109" s="15" t="n"/>
      <c r="CR109" s="15" t="n"/>
      <c r="CS109" s="15" t="n"/>
      <c r="CT109" s="15" t="n"/>
      <c r="CU109" s="15" t="n"/>
      <c r="CV109" s="15" t="n"/>
      <c r="CW109" s="15" t="n"/>
      <c r="CX109" s="15" t="n"/>
      <c r="CY109" s="15" t="n"/>
      <c r="CZ109" s="15" t="n"/>
      <c r="DA109" s="15" t="n"/>
      <c r="DB109" s="15" t="n"/>
      <c r="DC109" s="15" t="n"/>
      <c r="DD109" s="15" t="n"/>
      <c r="DE109" s="15" t="n"/>
      <c r="DF109" s="15" t="n"/>
      <c r="DG109" s="15" t="n"/>
      <c r="DH109" s="15" t="n"/>
      <c r="DI109" s="15" t="n"/>
      <c r="DJ109" s="15" t="n"/>
      <c r="DK109" s="15" t="n"/>
      <c r="DL109" s="15" t="n"/>
    </row>
    <row r="110">
      <c r="A110" s="14" t="inlineStr">
        <is>
          <t>32-A(iv)</t>
        </is>
      </c>
      <c r="B110" s="7" t="inlineStr">
        <is>
          <t>Licence - &gt;10 to 20 years</t>
        </is>
      </c>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c r="AH110" s="15" t="n"/>
      <c r="AI110" s="15" t="n"/>
      <c r="AJ110" s="15" t="n"/>
      <c r="AK110" s="15" t="n"/>
      <c r="AL110" s="15" t="n"/>
      <c r="AM110" s="15" t="n"/>
      <c r="AN110" s="15" t="n"/>
      <c r="AO110" s="15" t="n"/>
      <c r="AP110" s="15" t="n"/>
      <c r="AQ110" s="15" t="n"/>
      <c r="AR110" s="15" t="n"/>
      <c r="AS110" s="15" t="n"/>
      <c r="AT110" s="15" t="n"/>
      <c r="AU110" s="15" t="n"/>
      <c r="AV110" s="15" t="n"/>
      <c r="AW110" s="15" t="n"/>
      <c r="AX110" s="17" t="inlineStr">
        <is>
          <t>I</t>
        </is>
      </c>
      <c r="AY110" s="19" t="inlineStr">
        <is>
          <t>C</t>
        </is>
      </c>
      <c r="AZ110" s="19" t="inlineStr">
        <is>
          <t>C</t>
        </is>
      </c>
      <c r="BA110" s="19" t="inlineStr">
        <is>
          <t>C</t>
        </is>
      </c>
      <c r="BB110" s="15" t="n"/>
      <c r="BC110" s="15" t="n"/>
      <c r="BD110" s="15" t="n"/>
      <c r="BE110" s="15" t="n"/>
      <c r="BF110" s="15" t="n"/>
      <c r="BG110" s="15" t="n"/>
      <c r="BH110" s="15" t="n"/>
      <c r="BI110" s="15" t="n"/>
      <c r="BJ110" s="15" t="n"/>
      <c r="BK110" s="15" t="n"/>
      <c r="BL110" s="15" t="n"/>
      <c r="BM110" s="15" t="n"/>
      <c r="BN110" s="15" t="n"/>
      <c r="BO110" s="15" t="n"/>
      <c r="BP110" s="15" t="n"/>
      <c r="BQ110" s="15" t="n"/>
      <c r="BR110" s="15" t="n"/>
      <c r="BS110" s="15" t="n"/>
      <c r="BT110" s="15" t="n"/>
      <c r="BU110" s="15" t="n"/>
      <c r="BV110" s="15" t="n"/>
      <c r="BW110" s="15" t="n"/>
      <c r="BX110" s="15" t="n"/>
      <c r="BY110" s="15" t="n"/>
      <c r="BZ110" s="15" t="n"/>
      <c r="CA110" s="15" t="n"/>
      <c r="CB110" s="15" t="n"/>
      <c r="CC110" s="15" t="n"/>
      <c r="CD110" s="15" t="n"/>
      <c r="CE110" s="15" t="n"/>
      <c r="CF110" s="15" t="n"/>
      <c r="CG110" s="15" t="n"/>
      <c r="CH110" s="15" t="n"/>
      <c r="CI110" s="15" t="n"/>
      <c r="CJ110" s="15" t="n"/>
      <c r="CK110" s="15" t="n"/>
      <c r="CL110" s="15" t="n"/>
      <c r="CM110" s="15" t="n"/>
      <c r="CN110" s="15" t="n"/>
      <c r="CO110" s="15" t="n"/>
      <c r="CP110" s="15" t="n"/>
      <c r="CQ110" s="15" t="n"/>
      <c r="CR110" s="15" t="n"/>
      <c r="CS110" s="15" t="n"/>
      <c r="CT110" s="15" t="n"/>
      <c r="CU110" s="15" t="n"/>
      <c r="CV110" s="15" t="n"/>
      <c r="CW110" s="15" t="n"/>
      <c r="CX110" s="15" t="n"/>
      <c r="CY110" s="15" t="n"/>
      <c r="CZ110" s="15" t="n"/>
      <c r="DA110" s="15" t="n"/>
      <c r="DB110" s="15" t="n"/>
      <c r="DC110" s="15" t="n"/>
      <c r="DD110" s="15" t="n"/>
      <c r="DE110" s="15" t="n"/>
      <c r="DF110" s="15" t="n"/>
      <c r="DG110" s="15" t="n"/>
      <c r="DH110" s="15" t="n"/>
      <c r="DI110" s="15" t="n"/>
      <c r="DJ110" s="15" t="n"/>
      <c r="DK110" s="15" t="n"/>
      <c r="DL110" s="15" t="n"/>
    </row>
    <row r="111">
      <c r="A111" s="14" t="inlineStr">
        <is>
          <t>32-A(v)</t>
        </is>
      </c>
      <c r="B111" s="7" t="inlineStr">
        <is>
          <t>Licence - &gt;20 to 30 years</t>
        </is>
      </c>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c r="AH111" s="15" t="n"/>
      <c r="AI111" s="15" t="n"/>
      <c r="AJ111" s="15" t="n"/>
      <c r="AK111" s="15" t="n"/>
      <c r="AL111" s="15" t="n"/>
      <c r="AM111" s="15" t="n"/>
      <c r="AN111" s="15" t="n"/>
      <c r="AO111" s="15" t="n"/>
      <c r="AP111" s="15" t="n"/>
      <c r="AQ111" s="15" t="n"/>
      <c r="AR111" s="15" t="n"/>
      <c r="AS111" s="15" t="n"/>
      <c r="AT111" s="15" t="n"/>
      <c r="AU111" s="15" t="n"/>
      <c r="AV111" s="15" t="n"/>
      <c r="AW111" s="15" t="n"/>
      <c r="AX111" s="17" t="inlineStr">
        <is>
          <t>I</t>
        </is>
      </c>
      <c r="AY111" s="19" t="inlineStr">
        <is>
          <t>C</t>
        </is>
      </c>
      <c r="AZ111" s="19" t="inlineStr">
        <is>
          <t>C</t>
        </is>
      </c>
      <c r="BA111" s="19" t="inlineStr">
        <is>
          <t>C</t>
        </is>
      </c>
      <c r="BB111" s="15" t="n"/>
      <c r="BC111" s="15" t="n"/>
      <c r="BD111" s="15" t="n"/>
      <c r="BE111" s="15" t="n"/>
      <c r="BF111" s="15" t="n"/>
      <c r="BG111" s="15" t="n"/>
      <c r="BH111" s="15" t="n"/>
      <c r="BI111" s="15" t="n"/>
      <c r="BJ111" s="15" t="n"/>
      <c r="BK111" s="15" t="n"/>
      <c r="BL111" s="15" t="n"/>
      <c r="BM111" s="15" t="n"/>
      <c r="BN111" s="15" t="n"/>
      <c r="BO111" s="15" t="n"/>
      <c r="BP111" s="15" t="n"/>
      <c r="BQ111" s="15" t="n"/>
      <c r="BR111" s="15" t="n"/>
      <c r="BS111" s="15" t="n"/>
      <c r="BT111" s="15" t="n"/>
      <c r="BU111" s="15" t="n"/>
      <c r="BV111" s="15" t="n"/>
      <c r="BW111" s="15" t="n"/>
      <c r="BX111" s="15" t="n"/>
      <c r="BY111" s="15" t="n"/>
      <c r="BZ111" s="15" t="n"/>
      <c r="CA111" s="15" t="n"/>
      <c r="CB111" s="15" t="n"/>
      <c r="CC111" s="15" t="n"/>
      <c r="CD111" s="15" t="n"/>
      <c r="CE111" s="15" t="n"/>
      <c r="CF111" s="15" t="n"/>
      <c r="CG111" s="15" t="n"/>
      <c r="CH111" s="15" t="n"/>
      <c r="CI111" s="15" t="n"/>
      <c r="CJ111" s="15" t="n"/>
      <c r="CK111" s="15" t="n"/>
      <c r="CL111" s="15" t="n"/>
      <c r="CM111" s="15" t="n"/>
      <c r="CN111" s="15" t="n"/>
      <c r="CO111" s="15" t="n"/>
      <c r="CP111" s="15" t="n"/>
      <c r="CQ111" s="15" t="n"/>
      <c r="CR111" s="15" t="n"/>
      <c r="CS111" s="15" t="n"/>
      <c r="CT111" s="15" t="n"/>
      <c r="CU111" s="15" t="n"/>
      <c r="CV111" s="15" t="n"/>
      <c r="CW111" s="15" t="n"/>
      <c r="CX111" s="15" t="n"/>
      <c r="CY111" s="15" t="n"/>
      <c r="CZ111" s="15" t="n"/>
      <c r="DA111" s="15" t="n"/>
      <c r="DB111" s="15" t="n"/>
      <c r="DC111" s="15" t="n"/>
      <c r="DD111" s="15" t="n"/>
      <c r="DE111" s="15" t="n"/>
      <c r="DF111" s="15" t="n"/>
      <c r="DG111" s="15" t="n"/>
      <c r="DH111" s="15" t="n"/>
      <c r="DI111" s="15" t="n"/>
      <c r="DJ111" s="15" t="n"/>
      <c r="DK111" s="15" t="n"/>
      <c r="DL111" s="15" t="n"/>
    </row>
    <row r="112">
      <c r="A112" s="14" t="inlineStr">
        <is>
          <t>33(a)</t>
        </is>
      </c>
      <c r="B112" s="7" t="inlineStr">
        <is>
          <t>Memorandum of Association with Articles</t>
        </is>
      </c>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c r="AH112" s="15" t="n"/>
      <c r="AI112" s="15" t="n"/>
      <c r="AJ112" s="15" t="n"/>
      <c r="AK112" s="15" t="n"/>
      <c r="AL112" s="15" t="n"/>
      <c r="AM112" s="15" t="n"/>
      <c r="AN112" s="15" t="n"/>
      <c r="AO112" s="15" t="n"/>
      <c r="AP112" s="15" t="n"/>
      <c r="AQ112" s="15" t="n"/>
      <c r="AR112" s="15" t="n"/>
      <c r="AS112" s="15" t="n"/>
      <c r="AT112" s="15" t="n"/>
      <c r="AU112" s="15" t="n"/>
      <c r="AV112" s="15" t="n"/>
      <c r="AW112" s="15" t="n"/>
      <c r="AX112" s="15" t="n"/>
      <c r="AY112" s="15" t="n"/>
      <c r="AZ112" s="15" t="n"/>
      <c r="BA112" s="15" t="n"/>
      <c r="BB112" s="15" t="n"/>
      <c r="BC112" s="15" t="n"/>
      <c r="BD112" s="15" t="n"/>
      <c r="BE112" s="15" t="n"/>
      <c r="BF112" s="15" t="n"/>
      <c r="BG112" s="15" t="n"/>
      <c r="BH112" s="15" t="n"/>
      <c r="BI112" s="15" t="n"/>
      <c r="BJ112" s="15" t="n"/>
      <c r="BK112" s="15" t="n"/>
      <c r="BL112" s="15" t="n"/>
      <c r="BM112" s="15" t="n"/>
      <c r="BN112" s="15" t="n"/>
      <c r="BO112" s="15" t="n"/>
      <c r="BP112" s="15" t="n"/>
      <c r="BQ112" s="15" t="n"/>
      <c r="BR112" s="15" t="n"/>
      <c r="BS112" s="15" t="n"/>
      <c r="BT112" s="15" t="n"/>
      <c r="BU112" s="15" t="n"/>
      <c r="BV112" s="15" t="n"/>
      <c r="BW112" s="15" t="n"/>
      <c r="BX112" s="17" t="inlineStr">
        <is>
          <t>I</t>
        </is>
      </c>
      <c r="BY112" s="17" t="inlineStr">
        <is>
          <t>I</t>
        </is>
      </c>
      <c r="BZ112" s="15" t="n"/>
      <c r="CA112" s="15" t="n"/>
      <c r="CB112" s="15" t="n"/>
      <c r="CC112" s="15" t="n"/>
      <c r="CD112" s="15" t="n"/>
      <c r="CE112" s="15" t="n"/>
      <c r="CF112" s="15" t="n"/>
      <c r="CG112" s="15" t="n"/>
      <c r="CH112" s="15" t="n"/>
      <c r="CI112" s="15" t="n"/>
      <c r="CJ112" s="15" t="n"/>
      <c r="CK112" s="15" t="n"/>
      <c r="CL112" s="15" t="n"/>
      <c r="CM112" s="15" t="n"/>
      <c r="CN112" s="15" t="n"/>
      <c r="CO112" s="15" t="n"/>
      <c r="CP112" s="15" t="n"/>
      <c r="CQ112" s="15" t="n"/>
      <c r="CR112" s="15" t="n"/>
      <c r="CS112" s="15" t="n"/>
      <c r="CT112" s="15" t="n"/>
      <c r="CU112" s="15" t="n"/>
      <c r="CV112" s="15" t="n"/>
      <c r="CW112" s="15" t="n"/>
      <c r="CX112" s="15" t="n"/>
      <c r="CY112" s="15" t="n"/>
      <c r="CZ112" s="15" t="n"/>
      <c r="DA112" s="15" t="n"/>
      <c r="DB112" s="15" t="n"/>
      <c r="DC112" s="15" t="n"/>
      <c r="DD112" s="15" t="n"/>
      <c r="DE112" s="15" t="n"/>
      <c r="DF112" s="15" t="n"/>
      <c r="DG112" s="15" t="n"/>
      <c r="DH112" s="15" t="n"/>
      <c r="DI112" s="15" t="n"/>
      <c r="DJ112" s="15" t="n"/>
      <c r="DK112" s="15" t="n"/>
      <c r="DL112" s="15" t="n"/>
    </row>
    <row r="113">
      <c r="A113" s="14" t="inlineStr">
        <is>
          <t>33(b)</t>
        </is>
      </c>
      <c r="B113" s="7" t="inlineStr">
        <is>
          <t>Memorandum of Association without Articles</t>
        </is>
      </c>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c r="AH113" s="15" t="n"/>
      <c r="AI113" s="15" t="n"/>
      <c r="AJ113" s="15" t="n"/>
      <c r="AK113" s="15" t="n"/>
      <c r="AL113" s="15" t="n"/>
      <c r="AM113" s="15" t="n"/>
      <c r="AN113" s="15" t="n"/>
      <c r="AO113" s="15" t="n"/>
      <c r="AP113" s="15" t="n"/>
      <c r="AQ113" s="15" t="n"/>
      <c r="AR113" s="15" t="n"/>
      <c r="AS113" s="15" t="n"/>
      <c r="AT113" s="15" t="n"/>
      <c r="AU113" s="15" t="n"/>
      <c r="AV113" s="15" t="n"/>
      <c r="AW113" s="15" t="n"/>
      <c r="AX113" s="15" t="n"/>
      <c r="AY113" s="15" t="n"/>
      <c r="AZ113" s="15" t="n"/>
      <c r="BA113" s="15" t="n"/>
      <c r="BB113" s="15" t="n"/>
      <c r="BC113" s="15" t="n"/>
      <c r="BD113" s="15" t="n"/>
      <c r="BE113" s="15" t="n"/>
      <c r="BF113" s="15" t="n"/>
      <c r="BG113" s="15" t="n"/>
      <c r="BH113" s="15" t="n"/>
      <c r="BI113" s="15" t="n"/>
      <c r="BJ113" s="15" t="n"/>
      <c r="BK113" s="15" t="n"/>
      <c r="BL113" s="15" t="n"/>
      <c r="BM113" s="15" t="n"/>
      <c r="BN113" s="15" t="n"/>
      <c r="BO113" s="15" t="n"/>
      <c r="BP113" s="15" t="n"/>
      <c r="BQ113" s="15" t="n"/>
      <c r="BR113" s="15" t="n"/>
      <c r="BS113" s="15" t="n"/>
      <c r="BT113" s="15" t="n"/>
      <c r="BU113" s="15" t="n"/>
      <c r="BV113" s="15" t="n"/>
      <c r="BW113" s="19" t="inlineStr">
        <is>
          <t>C</t>
        </is>
      </c>
      <c r="BX113" s="17" t="inlineStr">
        <is>
          <t>I</t>
        </is>
      </c>
      <c r="BY113" s="17" t="inlineStr">
        <is>
          <t>I</t>
        </is>
      </c>
      <c r="BZ113" s="15" t="n"/>
      <c r="CA113" s="15" t="n"/>
      <c r="CB113" s="15" t="n"/>
      <c r="CC113" s="15" t="n"/>
      <c r="CD113" s="15" t="n"/>
      <c r="CE113" s="15" t="n"/>
      <c r="CF113" s="15" t="n"/>
      <c r="CG113" s="15" t="n"/>
      <c r="CH113" s="15" t="n"/>
      <c r="CI113" s="15" t="n"/>
      <c r="CJ113" s="15" t="n"/>
      <c r="CK113" s="15" t="n"/>
      <c r="CL113" s="15" t="n"/>
      <c r="CM113" s="15" t="n"/>
      <c r="CN113" s="15" t="n"/>
      <c r="CO113" s="15" t="n"/>
      <c r="CP113" s="15" t="n"/>
      <c r="CQ113" s="15" t="n"/>
      <c r="CR113" s="15" t="n"/>
      <c r="CS113" s="15" t="n"/>
      <c r="CT113" s="15" t="n"/>
      <c r="CU113" s="15" t="n"/>
      <c r="CV113" s="15" t="n"/>
      <c r="CW113" s="15" t="n"/>
      <c r="CX113" s="15" t="n"/>
      <c r="CY113" s="15" t="n"/>
      <c r="CZ113" s="15" t="n"/>
      <c r="DA113" s="15" t="n"/>
      <c r="DB113" s="15" t="n"/>
      <c r="DC113" s="15" t="n"/>
      <c r="DD113" s="15" t="n"/>
      <c r="DE113" s="15" t="n"/>
      <c r="DF113" s="15" t="n"/>
      <c r="DG113" s="15" t="n"/>
      <c r="DH113" s="15" t="n"/>
      <c r="DI113" s="15" t="n"/>
      <c r="DJ113" s="15" t="n"/>
      <c r="DK113" s="15" t="n"/>
      <c r="DL113" s="15" t="n"/>
    </row>
    <row r="114">
      <c r="A114" s="14" t="inlineStr">
        <is>
          <t>34(a)</t>
        </is>
      </c>
      <c r="B114" s="7" t="inlineStr">
        <is>
          <t>Mortgage - with possession</t>
        </is>
      </c>
      <c r="C114" s="15" t="n"/>
      <c r="D114" s="15" t="n"/>
      <c r="E114" s="15" t="n"/>
      <c r="F114" s="15" t="n"/>
      <c r="G114" s="18" t="inlineStr">
        <is>
          <t>E</t>
        </is>
      </c>
      <c r="H114" s="15" t="n"/>
      <c r="I114" s="15" t="n"/>
      <c r="J114" s="15" t="n"/>
      <c r="K114" s="15" t="n"/>
      <c r="L114" s="15" t="n"/>
      <c r="M114" s="15" t="n"/>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c r="AH114" s="15" t="n"/>
      <c r="AI114" s="19" t="inlineStr">
        <is>
          <t>C</t>
        </is>
      </c>
      <c r="AJ114" s="15" t="n"/>
      <c r="AK114" s="17" t="inlineStr">
        <is>
          <t>I</t>
        </is>
      </c>
      <c r="AL114" s="17" t="inlineStr">
        <is>
          <t>I</t>
        </is>
      </c>
      <c r="AM114" s="15" t="n"/>
      <c r="AN114" s="15" t="n"/>
      <c r="AO114" s="15" t="n"/>
      <c r="AP114" s="15" t="n"/>
      <c r="AQ114" s="18" t="inlineStr">
        <is>
          <t>E</t>
        </is>
      </c>
      <c r="AR114" s="15" t="n"/>
      <c r="AS114" s="15" t="n"/>
      <c r="AT114" s="15" t="n"/>
      <c r="AU114" s="15" t="n"/>
      <c r="AV114" s="15" t="n"/>
      <c r="AW114" s="15" t="n"/>
      <c r="AX114" s="15" t="n"/>
      <c r="AY114" s="15" t="n"/>
      <c r="AZ114" s="15" t="n"/>
      <c r="BA114" s="15" t="n"/>
      <c r="BB114" s="15" t="n"/>
      <c r="BC114" s="15" t="n"/>
      <c r="BD114" s="15" t="n"/>
      <c r="BE114" s="15" t="n"/>
      <c r="BF114" s="15" t="n"/>
      <c r="BG114" s="15" t="n"/>
      <c r="BH114" s="15" t="n"/>
      <c r="BI114" s="15" t="n"/>
      <c r="BJ114" s="15" t="n"/>
      <c r="BK114" s="15" t="n"/>
      <c r="BL114" s="15" t="n"/>
      <c r="BM114" s="15" t="n"/>
      <c r="BN114" s="15" t="n"/>
      <c r="BO114" s="15" t="n"/>
      <c r="BP114" s="15" t="n"/>
      <c r="BQ114" s="15" t="n"/>
      <c r="BR114" s="15" t="n"/>
      <c r="BS114" s="15" t="n"/>
      <c r="BT114" s="15" t="n"/>
      <c r="BU114" s="15" t="n"/>
      <c r="BV114" s="15" t="n"/>
      <c r="BW114" s="15" t="n"/>
      <c r="BX114" s="15" t="n"/>
      <c r="BY114" s="15" t="n"/>
      <c r="BZ114" s="15" t="n"/>
      <c r="CA114" s="15" t="n"/>
      <c r="CB114" s="15" t="n"/>
      <c r="CC114" s="15" t="n"/>
      <c r="CD114" s="15" t="n"/>
      <c r="CE114" s="15" t="n"/>
      <c r="CF114" s="15" t="n"/>
      <c r="CG114" s="15" t="n"/>
      <c r="CH114" s="15" t="n"/>
      <c r="CI114" s="15" t="n"/>
      <c r="CJ114" s="15" t="n"/>
      <c r="CK114" s="15" t="n"/>
      <c r="CL114" s="15" t="n"/>
      <c r="CM114" s="15" t="n"/>
      <c r="CN114" s="15" t="n"/>
      <c r="CO114" s="15" t="n"/>
      <c r="CP114" s="15" t="n"/>
      <c r="CQ114" s="15" t="n"/>
      <c r="CR114" s="15" t="n"/>
      <c r="CS114" s="15" t="n"/>
      <c r="CT114" s="15" t="n"/>
      <c r="CU114" s="15" t="n"/>
      <c r="CV114" s="15" t="n"/>
      <c r="CW114" s="15" t="n"/>
      <c r="CX114" s="15" t="n"/>
      <c r="CY114" s="15" t="n"/>
      <c r="CZ114" s="15" t="n"/>
      <c r="DA114" s="15" t="n"/>
      <c r="DB114" s="15" t="n"/>
      <c r="DC114" s="15" t="n"/>
      <c r="DD114" s="15" t="n"/>
      <c r="DE114" s="15" t="n"/>
      <c r="DF114" s="15" t="n"/>
      <c r="DG114" s="15" t="n"/>
      <c r="DH114" s="15" t="n"/>
      <c r="DI114" s="15" t="n"/>
      <c r="DJ114" s="15" t="n"/>
      <c r="DK114" s="15" t="n"/>
      <c r="DL114" s="15" t="n"/>
    </row>
    <row r="115">
      <c r="A115" s="14" t="inlineStr">
        <is>
          <t>34(b)</t>
        </is>
      </c>
      <c r="B115" s="7" t="inlineStr">
        <is>
          <t>Mortgage - without possession (not hypothecation)</t>
        </is>
      </c>
      <c r="C115" s="15" t="n"/>
      <c r="D115" s="15" t="n"/>
      <c r="E115" s="15" t="n"/>
      <c r="F115" s="15" t="n"/>
      <c r="G115" s="18" t="inlineStr">
        <is>
          <t>E</t>
        </is>
      </c>
      <c r="H115" s="15" t="n"/>
      <c r="I115" s="15" t="n"/>
      <c r="J115" s="15" t="n"/>
      <c r="K115" s="15" t="n"/>
      <c r="L115" s="15" t="n"/>
      <c r="M115" s="15" t="n"/>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c r="AH115" s="15" t="n"/>
      <c r="AI115" s="19" t="inlineStr">
        <is>
          <t>C</t>
        </is>
      </c>
      <c r="AJ115" s="15" t="n"/>
      <c r="AK115" s="17" t="inlineStr">
        <is>
          <t>I</t>
        </is>
      </c>
      <c r="AL115" s="17" t="inlineStr">
        <is>
          <t>I</t>
        </is>
      </c>
      <c r="AM115" s="15" t="n"/>
      <c r="AN115" s="15" t="n"/>
      <c r="AO115" s="15" t="n"/>
      <c r="AP115" s="15" t="n"/>
      <c r="AQ115" s="18" t="inlineStr">
        <is>
          <t>E</t>
        </is>
      </c>
      <c r="AR115" s="15" t="n"/>
      <c r="AS115" s="15" t="n"/>
      <c r="AT115" s="15" t="n"/>
      <c r="AU115" s="15" t="n"/>
      <c r="AV115" s="15" t="n"/>
      <c r="AW115" s="15" t="n"/>
      <c r="AX115" s="15" t="n"/>
      <c r="AY115" s="15" t="n"/>
      <c r="AZ115" s="15" t="n"/>
      <c r="BA115" s="15" t="n"/>
      <c r="BB115" s="15" t="n"/>
      <c r="BC115" s="15" t="n"/>
      <c r="BD115" s="15" t="n"/>
      <c r="BE115" s="15" t="n"/>
      <c r="BF115" s="15" t="n"/>
      <c r="BG115" s="15" t="n"/>
      <c r="BH115" s="15" t="n"/>
      <c r="BI115" s="15" t="n"/>
      <c r="BJ115" s="15" t="n"/>
      <c r="BK115" s="15" t="n"/>
      <c r="BL115" s="15" t="n"/>
      <c r="BM115" s="15" t="n"/>
      <c r="BN115" s="15" t="n"/>
      <c r="BO115" s="15" t="n"/>
      <c r="BP115" s="15" t="n"/>
      <c r="BQ115" s="15" t="n"/>
      <c r="BR115" s="15" t="n"/>
      <c r="BS115" s="15" t="n"/>
      <c r="BT115" s="15" t="n"/>
      <c r="BU115" s="15" t="n"/>
      <c r="BV115" s="15" t="n"/>
      <c r="BW115" s="15" t="n"/>
      <c r="BX115" s="15" t="n"/>
      <c r="BY115" s="15" t="n"/>
      <c r="BZ115" s="15" t="n"/>
      <c r="CA115" s="15" t="n"/>
      <c r="CB115" s="15" t="n"/>
      <c r="CC115" s="15" t="n"/>
      <c r="CD115" s="15" t="n"/>
      <c r="CE115" s="15" t="n"/>
      <c r="CF115" s="15" t="n"/>
      <c r="CG115" s="15" t="n"/>
      <c r="CH115" s="15" t="n"/>
      <c r="CI115" s="15" t="n"/>
      <c r="CJ115" s="15" t="n"/>
      <c r="CK115" s="15" t="n"/>
      <c r="CL115" s="15" t="n"/>
      <c r="CM115" s="15" t="n"/>
      <c r="CN115" s="15" t="n"/>
      <c r="CO115" s="15" t="n"/>
      <c r="CP115" s="15" t="n"/>
      <c r="CQ115" s="15" t="n"/>
      <c r="CR115" s="15" t="n"/>
      <c r="CS115" s="15" t="n"/>
      <c r="CT115" s="15" t="n"/>
      <c r="CU115" s="15" t="n"/>
      <c r="CV115" s="15" t="n"/>
      <c r="CW115" s="15" t="n"/>
      <c r="CX115" s="15" t="n"/>
      <c r="CY115" s="15" t="n"/>
      <c r="CZ115" s="15" t="n"/>
      <c r="DA115" s="15" t="n"/>
      <c r="DB115" s="15" t="n"/>
      <c r="DC115" s="15" t="n"/>
      <c r="DD115" s="15" t="n"/>
      <c r="DE115" s="15" t="n"/>
      <c r="DF115" s="15" t="n"/>
      <c r="DG115" s="15" t="n"/>
      <c r="DH115" s="15" t="n"/>
      <c r="DI115" s="15" t="n"/>
      <c r="DJ115" s="15" t="n"/>
      <c r="DK115" s="15" t="n"/>
      <c r="DL115" s="15" t="n"/>
    </row>
    <row r="116">
      <c r="A116" s="14" t="inlineStr">
        <is>
          <t>34(c)(i)</t>
        </is>
      </c>
      <c r="B116" s="7" t="inlineStr">
        <is>
          <t>Collateral / additional security - sum &lt;= Rs.1,000</t>
        </is>
      </c>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c r="AH116" s="15" t="n"/>
      <c r="AI116" s="17" t="inlineStr">
        <is>
          <t>I</t>
        </is>
      </c>
      <c r="AJ116" s="15" t="n"/>
      <c r="AK116" s="17" t="inlineStr">
        <is>
          <t>I</t>
        </is>
      </c>
      <c r="AL116" s="15" t="n"/>
      <c r="AM116" s="17" t="inlineStr">
        <is>
          <t>I</t>
        </is>
      </c>
      <c r="AN116" s="15" t="n"/>
      <c r="AO116" s="15" t="n"/>
      <c r="AP116" s="15" t="n"/>
      <c r="AQ116" s="15" t="n"/>
      <c r="AR116" s="15" t="n"/>
      <c r="AS116" s="15" t="n"/>
      <c r="AT116" s="15" t="n"/>
      <c r="AU116" s="15" t="n"/>
      <c r="AV116" s="15" t="n"/>
      <c r="AW116" s="15" t="n"/>
      <c r="AX116" s="15" t="n"/>
      <c r="AY116" s="15" t="n"/>
      <c r="AZ116" s="15" t="n"/>
      <c r="BA116" s="15" t="n"/>
      <c r="BB116" s="15" t="n"/>
      <c r="BC116" s="15" t="n"/>
      <c r="BD116" s="15" t="n"/>
      <c r="BE116" s="15" t="n"/>
      <c r="BF116" s="15" t="n"/>
      <c r="BG116" s="15" t="n"/>
      <c r="BH116" s="15" t="n"/>
      <c r="BI116" s="15" t="n"/>
      <c r="BJ116" s="15" t="n"/>
      <c r="BK116" s="15" t="n"/>
      <c r="BL116" s="15" t="n"/>
      <c r="BM116" s="15" t="n"/>
      <c r="BN116" s="15" t="n"/>
      <c r="BO116" s="15" t="n"/>
      <c r="BP116" s="15" t="n"/>
      <c r="BQ116" s="15" t="n"/>
      <c r="BR116" s="15" t="n"/>
      <c r="BS116" s="15" t="n"/>
      <c r="BT116" s="15" t="n"/>
      <c r="BU116" s="15" t="n"/>
      <c r="BV116" s="15" t="n"/>
      <c r="BW116" s="15" t="n"/>
      <c r="BX116" s="15" t="n"/>
      <c r="BY116" s="15" t="n"/>
      <c r="BZ116" s="15" t="n"/>
      <c r="CA116" s="15" t="n"/>
      <c r="CB116" s="15" t="n"/>
      <c r="CC116" s="15" t="n"/>
      <c r="CD116" s="15" t="n"/>
      <c r="CE116" s="15" t="n"/>
      <c r="CF116" s="15" t="n"/>
      <c r="CG116" s="15" t="n"/>
      <c r="CH116" s="15" t="n"/>
      <c r="CI116" s="15" t="n"/>
      <c r="CJ116" s="15" t="n"/>
      <c r="CK116" s="15" t="n"/>
      <c r="CL116" s="15" t="n"/>
      <c r="CM116" s="15" t="n"/>
      <c r="CN116" s="15" t="n"/>
      <c r="CO116" s="15" t="n"/>
      <c r="CP116" s="15" t="n"/>
      <c r="CQ116" s="15" t="n"/>
      <c r="CR116" s="15" t="n"/>
      <c r="CS116" s="15" t="n"/>
      <c r="CT116" s="15" t="n"/>
      <c r="CU116" s="15" t="n"/>
      <c r="CV116" s="15" t="n"/>
      <c r="CW116" s="15" t="n"/>
      <c r="CX116" s="15" t="n"/>
      <c r="CY116" s="15" t="n"/>
      <c r="CZ116" s="15" t="n"/>
      <c r="DA116" s="15" t="n"/>
      <c r="DB116" s="15" t="n"/>
      <c r="DC116" s="15" t="n"/>
      <c r="DD116" s="15" t="n"/>
      <c r="DE116" s="15" t="n"/>
      <c r="DF116" s="15" t="n"/>
      <c r="DG116" s="15" t="n"/>
      <c r="DH116" s="15" t="n"/>
      <c r="DI116" s="15" t="n"/>
      <c r="DJ116" s="15" t="n"/>
      <c r="DK116" s="15" t="n"/>
      <c r="DL116" s="15" t="n"/>
    </row>
    <row r="117">
      <c r="A117" s="14" t="inlineStr">
        <is>
          <t>34(c)(ii)</t>
        </is>
      </c>
      <c r="B117" s="7" t="inlineStr">
        <is>
          <t>Collateral / additional security - sum &gt; Rs.1,000</t>
        </is>
      </c>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c r="AH117" s="15" t="n"/>
      <c r="AI117" s="16" t="inlineStr">
        <is>
          <t>I+C</t>
        </is>
      </c>
      <c r="AJ117" s="15" t="n"/>
      <c r="AK117" s="17" t="inlineStr">
        <is>
          <t>I</t>
        </is>
      </c>
      <c r="AL117" s="15" t="n"/>
      <c r="AM117" s="17" t="inlineStr">
        <is>
          <t>I</t>
        </is>
      </c>
      <c r="AN117" s="15" t="n"/>
      <c r="AO117" s="15" t="n"/>
      <c r="AP117" s="15" t="n"/>
      <c r="AQ117" s="15" t="n"/>
      <c r="AR117" s="15" t="n"/>
      <c r="AS117" s="15" t="n"/>
      <c r="AT117" s="15" t="n"/>
      <c r="AU117" s="15" t="n"/>
      <c r="AV117" s="15" t="n"/>
      <c r="AW117" s="15" t="n"/>
      <c r="AX117" s="15" t="n"/>
      <c r="AY117" s="15" t="n"/>
      <c r="AZ117" s="15" t="n"/>
      <c r="BA117" s="15" t="n"/>
      <c r="BB117" s="15" t="n"/>
      <c r="BC117" s="15" t="n"/>
      <c r="BD117" s="15" t="n"/>
      <c r="BE117" s="15" t="n"/>
      <c r="BF117" s="15" t="n"/>
      <c r="BG117" s="15" t="n"/>
      <c r="BH117" s="15" t="n"/>
      <c r="BI117" s="15" t="n"/>
      <c r="BJ117" s="15" t="n"/>
      <c r="BK117" s="15" t="n"/>
      <c r="BL117" s="15" t="n"/>
      <c r="BM117" s="15" t="n"/>
      <c r="BN117" s="15" t="n"/>
      <c r="BO117" s="15" t="n"/>
      <c r="BP117" s="15" t="n"/>
      <c r="BQ117" s="15" t="n"/>
      <c r="BR117" s="15" t="n"/>
      <c r="BS117" s="15" t="n"/>
      <c r="BT117" s="15" t="n"/>
      <c r="BU117" s="15" t="n"/>
      <c r="BV117" s="15" t="n"/>
      <c r="BW117" s="15" t="n"/>
      <c r="BX117" s="15" t="n"/>
      <c r="BY117" s="15" t="n"/>
      <c r="BZ117" s="15" t="n"/>
      <c r="CA117" s="15" t="n"/>
      <c r="CB117" s="15" t="n"/>
      <c r="CC117" s="15" t="n"/>
      <c r="CD117" s="15" t="n"/>
      <c r="CE117" s="15" t="n"/>
      <c r="CF117" s="15" t="n"/>
      <c r="CG117" s="15" t="n"/>
      <c r="CH117" s="15" t="n"/>
      <c r="CI117" s="15" t="n"/>
      <c r="CJ117" s="15" t="n"/>
      <c r="CK117" s="15" t="n"/>
      <c r="CL117" s="15" t="n"/>
      <c r="CM117" s="15" t="n"/>
      <c r="CN117" s="15" t="n"/>
      <c r="CO117" s="15" t="n"/>
      <c r="CP117" s="15" t="n"/>
      <c r="CQ117" s="15" t="n"/>
      <c r="CR117" s="15" t="n"/>
      <c r="CS117" s="15" t="n"/>
      <c r="CT117" s="15" t="n"/>
      <c r="CU117" s="15" t="n"/>
      <c r="CV117" s="15" t="n"/>
      <c r="CW117" s="15" t="n"/>
      <c r="CX117" s="15" t="n"/>
      <c r="CY117" s="15" t="n"/>
      <c r="CZ117" s="15" t="n"/>
      <c r="DA117" s="15" t="n"/>
      <c r="DB117" s="15" t="n"/>
      <c r="DC117" s="15" t="n"/>
      <c r="DD117" s="15" t="n"/>
      <c r="DE117" s="15" t="n"/>
      <c r="DF117" s="15" t="n"/>
      <c r="DG117" s="15" t="n"/>
      <c r="DH117" s="15" t="n"/>
      <c r="DI117" s="15" t="n"/>
      <c r="DJ117" s="15" t="n"/>
      <c r="DK117" s="15" t="n"/>
      <c r="DL117" s="15" t="n"/>
    </row>
    <row r="118">
      <c r="A118" s="14" t="inlineStr">
        <is>
          <t>34(d)(i)</t>
        </is>
      </c>
      <c r="B118" s="7" t="inlineStr">
        <is>
          <t>Hypothecation of movable - loan up to Rs.10 lakh (on demand)</t>
        </is>
      </c>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c r="AH118" s="15" t="n"/>
      <c r="AI118" s="16" t="inlineStr">
        <is>
          <t>I+C</t>
        </is>
      </c>
      <c r="AJ118" s="17" t="inlineStr">
        <is>
          <t>I</t>
        </is>
      </c>
      <c r="AK118" s="17" t="inlineStr">
        <is>
          <t>I</t>
        </is>
      </c>
      <c r="AL118" s="15" t="n"/>
      <c r="AM118" s="15" t="n"/>
      <c r="AN118" s="15" t="n"/>
      <c r="AO118" s="15" t="n"/>
      <c r="AP118" s="15" t="n"/>
      <c r="AQ118" s="15" t="n"/>
      <c r="AR118" s="15" t="n"/>
      <c r="AS118" s="15" t="n"/>
      <c r="AT118" s="18" t="inlineStr">
        <is>
          <t>E</t>
        </is>
      </c>
      <c r="AU118" s="15" t="n"/>
      <c r="AV118" s="15" t="n"/>
      <c r="AW118" s="15" t="n"/>
      <c r="AX118" s="15" t="n"/>
      <c r="AY118" s="15" t="n"/>
      <c r="AZ118" s="15" t="n"/>
      <c r="BA118" s="15" t="n"/>
      <c r="BB118" s="15" t="n"/>
      <c r="BC118" s="15" t="n"/>
      <c r="BD118" s="15" t="n"/>
      <c r="BE118" s="15" t="n"/>
      <c r="BF118" s="15" t="n"/>
      <c r="BG118" s="15" t="n"/>
      <c r="BH118" s="15" t="n"/>
      <c r="BI118" s="15" t="n"/>
      <c r="BJ118" s="15" t="n"/>
      <c r="BK118" s="15" t="n"/>
      <c r="BL118" s="15" t="n"/>
      <c r="BM118" s="15" t="n"/>
      <c r="BN118" s="15" t="n"/>
      <c r="BO118" s="15" t="n"/>
      <c r="BP118" s="15" t="n"/>
      <c r="BQ118" s="15" t="n"/>
      <c r="BR118" s="15" t="n"/>
      <c r="BS118" s="15" t="n"/>
      <c r="BT118" s="15" t="n"/>
      <c r="BU118" s="15" t="n"/>
      <c r="BV118" s="15" t="n"/>
      <c r="BW118" s="15" t="n"/>
      <c r="BX118" s="15" t="n"/>
      <c r="BY118" s="15" t="n"/>
      <c r="BZ118" s="15" t="n"/>
      <c r="CA118" s="15" t="n"/>
      <c r="CB118" s="15" t="n"/>
      <c r="CC118" s="15" t="n"/>
      <c r="CD118" s="15" t="n"/>
      <c r="CE118" s="15" t="n"/>
      <c r="CF118" s="15" t="n"/>
      <c r="CG118" s="15" t="n"/>
      <c r="CH118" s="15" t="n"/>
      <c r="CI118" s="15" t="n"/>
      <c r="CJ118" s="15" t="n"/>
      <c r="CK118" s="15" t="n"/>
      <c r="CL118" s="15" t="n"/>
      <c r="CM118" s="15" t="n"/>
      <c r="CN118" s="15" t="n"/>
      <c r="CO118" s="15" t="n"/>
      <c r="CP118" s="15" t="n"/>
      <c r="CQ118" s="15" t="n"/>
      <c r="CR118" s="15" t="n"/>
      <c r="CS118" s="15" t="n"/>
      <c r="CT118" s="15" t="n"/>
      <c r="CU118" s="15" t="n"/>
      <c r="CV118" s="15" t="n"/>
      <c r="CW118" s="15" t="n"/>
      <c r="CX118" s="15" t="n"/>
      <c r="CY118" s="15" t="n"/>
      <c r="CZ118" s="15" t="n"/>
      <c r="DA118" s="15" t="n"/>
      <c r="DB118" s="15" t="n"/>
      <c r="DC118" s="15" t="n"/>
      <c r="DD118" s="15" t="n"/>
      <c r="DE118" s="15" t="n"/>
      <c r="DF118" s="15" t="n"/>
      <c r="DG118" s="15" t="n"/>
      <c r="DH118" s="15" t="n"/>
      <c r="DI118" s="15" t="n"/>
      <c r="DJ118" s="15" t="n"/>
      <c r="DK118" s="15" t="n"/>
      <c r="DL118" s="15" t="n"/>
    </row>
    <row r="119">
      <c r="A119" s="14" t="inlineStr">
        <is>
          <t>34(d)(ii)</t>
        </is>
      </c>
      <c r="B119" s="7" t="inlineStr">
        <is>
          <t>Hypothecation of movable - loan above Rs.10 lakh (on demand)</t>
        </is>
      </c>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c r="AH119" s="15" t="n"/>
      <c r="AI119" s="16" t="inlineStr">
        <is>
          <t>I+C</t>
        </is>
      </c>
      <c r="AJ119" s="17" t="inlineStr">
        <is>
          <t>I</t>
        </is>
      </c>
      <c r="AK119" s="17" t="inlineStr">
        <is>
          <t>I</t>
        </is>
      </c>
      <c r="AL119" s="15" t="n"/>
      <c r="AM119" s="15" t="n"/>
      <c r="AN119" s="15" t="n"/>
      <c r="AO119" s="15" t="n"/>
      <c r="AP119" s="15" t="n"/>
      <c r="AQ119" s="15" t="n"/>
      <c r="AR119" s="15" t="n"/>
      <c r="AS119" s="15" t="n"/>
      <c r="AT119" s="18" t="inlineStr">
        <is>
          <t>E</t>
        </is>
      </c>
      <c r="AU119" s="15" t="n"/>
      <c r="AV119" s="15" t="n"/>
      <c r="AW119" s="15" t="n"/>
      <c r="AX119" s="15" t="n"/>
      <c r="AY119" s="15" t="n"/>
      <c r="AZ119" s="15" t="n"/>
      <c r="BA119" s="15" t="n"/>
      <c r="BB119" s="15" t="n"/>
      <c r="BC119" s="15" t="n"/>
      <c r="BD119" s="15" t="n"/>
      <c r="BE119" s="15" t="n"/>
      <c r="BF119" s="15" t="n"/>
      <c r="BG119" s="15" t="n"/>
      <c r="BH119" s="15" t="n"/>
      <c r="BI119" s="15" t="n"/>
      <c r="BJ119" s="15" t="n"/>
      <c r="BK119" s="15" t="n"/>
      <c r="BL119" s="15" t="n"/>
      <c r="BM119" s="15" t="n"/>
      <c r="BN119" s="15" t="n"/>
      <c r="BO119" s="15" t="n"/>
      <c r="BP119" s="15" t="n"/>
      <c r="BQ119" s="15" t="n"/>
      <c r="BR119" s="15" t="n"/>
      <c r="BS119" s="15" t="n"/>
      <c r="BT119" s="15" t="n"/>
      <c r="BU119" s="15" t="n"/>
      <c r="BV119" s="15" t="n"/>
      <c r="BW119" s="15" t="n"/>
      <c r="BX119" s="15" t="n"/>
      <c r="BY119" s="15" t="n"/>
      <c r="BZ119" s="15" t="n"/>
      <c r="CA119" s="15" t="n"/>
      <c r="CB119" s="15" t="n"/>
      <c r="CC119" s="15" t="n"/>
      <c r="CD119" s="15" t="n"/>
      <c r="CE119" s="15" t="n"/>
      <c r="CF119" s="15" t="n"/>
      <c r="CG119" s="15" t="n"/>
      <c r="CH119" s="15" t="n"/>
      <c r="CI119" s="15" t="n"/>
      <c r="CJ119" s="15" t="n"/>
      <c r="CK119" s="15" t="n"/>
      <c r="CL119" s="15" t="n"/>
      <c r="CM119" s="15" t="n"/>
      <c r="CN119" s="15" t="n"/>
      <c r="CO119" s="15" t="n"/>
      <c r="CP119" s="15" t="n"/>
      <c r="CQ119" s="15" t="n"/>
      <c r="CR119" s="15" t="n"/>
      <c r="CS119" s="15" t="n"/>
      <c r="CT119" s="15" t="n"/>
      <c r="CU119" s="15" t="n"/>
      <c r="CV119" s="15" t="n"/>
      <c r="CW119" s="15" t="n"/>
      <c r="CX119" s="15" t="n"/>
      <c r="CY119" s="15" t="n"/>
      <c r="CZ119" s="15" t="n"/>
      <c r="DA119" s="15" t="n"/>
      <c r="DB119" s="15" t="n"/>
      <c r="DC119" s="15" t="n"/>
      <c r="DD119" s="15" t="n"/>
      <c r="DE119" s="15" t="n"/>
      <c r="DF119" s="15" t="n"/>
      <c r="DG119" s="15" t="n"/>
      <c r="DH119" s="15" t="n"/>
      <c r="DI119" s="15" t="n"/>
      <c r="DJ119" s="15" t="n"/>
      <c r="DK119" s="15" t="n"/>
      <c r="DL119" s="15" t="n"/>
    </row>
    <row r="120">
      <c r="A120" s="14" t="inlineStr">
        <is>
          <t>35(a)</t>
        </is>
      </c>
      <c r="B120" s="7" t="inlineStr">
        <is>
          <t>Mortgage of crop - repayable within 3 months</t>
        </is>
      </c>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c r="AH120" s="15" t="n"/>
      <c r="AI120" s="19" t="inlineStr">
        <is>
          <t>C</t>
        </is>
      </c>
      <c r="AJ120" s="15" t="n"/>
      <c r="AK120" s="15" t="n"/>
      <c r="AL120" s="15" t="n"/>
      <c r="AM120" s="15" t="n"/>
      <c r="AN120" s="15" t="n"/>
      <c r="AO120" s="15" t="n"/>
      <c r="AP120" s="15" t="n"/>
      <c r="AQ120" s="15" t="n"/>
      <c r="AR120" s="17" t="inlineStr">
        <is>
          <t>I</t>
        </is>
      </c>
      <c r="AS120" s="15" t="n"/>
      <c r="AT120" s="15" t="n"/>
      <c r="AU120" s="15" t="n"/>
      <c r="AV120" s="15" t="n"/>
      <c r="AW120" s="15" t="n"/>
      <c r="AX120" s="15" t="n"/>
      <c r="AY120" s="15" t="n"/>
      <c r="AZ120" s="15" t="n"/>
      <c r="BA120" s="15" t="n"/>
      <c r="BB120" s="15" t="n"/>
      <c r="BC120" s="15" t="n"/>
      <c r="BD120" s="15" t="n"/>
      <c r="BE120" s="15" t="n"/>
      <c r="BF120" s="15" t="n"/>
      <c r="BG120" s="15" t="n"/>
      <c r="BH120" s="15" t="n"/>
      <c r="BI120" s="15" t="n"/>
      <c r="BJ120" s="15" t="n"/>
      <c r="BK120" s="15" t="n"/>
      <c r="BL120" s="15" t="n"/>
      <c r="BM120" s="15" t="n"/>
      <c r="BN120" s="15" t="n"/>
      <c r="BO120" s="15" t="n"/>
      <c r="BP120" s="15" t="n"/>
      <c r="BQ120" s="15" t="n"/>
      <c r="BR120" s="15" t="n"/>
      <c r="BS120" s="15" t="n"/>
      <c r="BT120" s="15" t="n"/>
      <c r="BU120" s="15" t="n"/>
      <c r="BV120" s="15" t="n"/>
      <c r="BW120" s="15" t="n"/>
      <c r="BX120" s="15" t="n"/>
      <c r="BY120" s="15" t="n"/>
      <c r="BZ120" s="15" t="n"/>
      <c r="CA120" s="15" t="n"/>
      <c r="CB120" s="15" t="n"/>
      <c r="CC120" s="15" t="n"/>
      <c r="CD120" s="15" t="n"/>
      <c r="CE120" s="15" t="n"/>
      <c r="CF120" s="15" t="n"/>
      <c r="CG120" s="15" t="n"/>
      <c r="CH120" s="15" t="n"/>
      <c r="CI120" s="15" t="n"/>
      <c r="CJ120" s="15" t="n"/>
      <c r="CK120" s="15" t="n"/>
      <c r="CL120" s="15" t="n"/>
      <c r="CM120" s="15" t="n"/>
      <c r="CN120" s="15" t="n"/>
      <c r="CO120" s="15" t="n"/>
      <c r="CP120" s="15" t="n"/>
      <c r="CQ120" s="15" t="n"/>
      <c r="CR120" s="15" t="n"/>
      <c r="CS120" s="15" t="n"/>
      <c r="CT120" s="15" t="n"/>
      <c r="CU120" s="15" t="n"/>
      <c r="CV120" s="15" t="n"/>
      <c r="CW120" s="15" t="n"/>
      <c r="CX120" s="15" t="n"/>
      <c r="CY120" s="15" t="n"/>
      <c r="CZ120" s="15" t="n"/>
      <c r="DA120" s="15" t="n"/>
      <c r="DB120" s="15" t="n"/>
      <c r="DC120" s="15" t="n"/>
      <c r="DD120" s="15" t="n"/>
      <c r="DE120" s="15" t="n"/>
      <c r="DF120" s="15" t="n"/>
      <c r="DG120" s="15" t="n"/>
      <c r="DH120" s="15" t="n"/>
      <c r="DI120" s="15" t="n"/>
      <c r="DJ120" s="15" t="n"/>
      <c r="DK120" s="15" t="n"/>
      <c r="DL120" s="15" t="n"/>
    </row>
    <row r="121">
      <c r="A121" s="14" t="inlineStr">
        <is>
          <t>35(b)</t>
        </is>
      </c>
      <c r="B121" s="7" t="inlineStr">
        <is>
          <t>Mortgage of crop - repayable in 3 to 18 months</t>
        </is>
      </c>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c r="AH121" s="15" t="n"/>
      <c r="AI121" s="19" t="inlineStr">
        <is>
          <t>C</t>
        </is>
      </c>
      <c r="AJ121" s="15" t="n"/>
      <c r="AK121" s="15" t="n"/>
      <c r="AL121" s="15" t="n"/>
      <c r="AM121" s="15" t="n"/>
      <c r="AN121" s="15" t="n"/>
      <c r="AO121" s="15" t="n"/>
      <c r="AP121" s="15" t="n"/>
      <c r="AQ121" s="15" t="n"/>
      <c r="AR121" s="17" t="inlineStr">
        <is>
          <t>I</t>
        </is>
      </c>
      <c r="AS121" s="15" t="n"/>
      <c r="AT121" s="15" t="n"/>
      <c r="AU121" s="15" t="n"/>
      <c r="AV121" s="15" t="n"/>
      <c r="AW121" s="15" t="n"/>
      <c r="AX121" s="15" t="n"/>
      <c r="AY121" s="15" t="n"/>
      <c r="AZ121" s="15" t="n"/>
      <c r="BA121" s="15" t="n"/>
      <c r="BB121" s="15" t="n"/>
      <c r="BC121" s="15" t="n"/>
      <c r="BD121" s="15" t="n"/>
      <c r="BE121" s="15" t="n"/>
      <c r="BF121" s="15" t="n"/>
      <c r="BG121" s="15" t="n"/>
      <c r="BH121" s="15" t="n"/>
      <c r="BI121" s="15" t="n"/>
      <c r="BJ121" s="15" t="n"/>
      <c r="BK121" s="15" t="n"/>
      <c r="BL121" s="15" t="n"/>
      <c r="BM121" s="15" t="n"/>
      <c r="BN121" s="15" t="n"/>
      <c r="BO121" s="15" t="n"/>
      <c r="BP121" s="15" t="n"/>
      <c r="BQ121" s="15" t="n"/>
      <c r="BR121" s="15" t="n"/>
      <c r="BS121" s="15" t="n"/>
      <c r="BT121" s="15" t="n"/>
      <c r="BU121" s="15" t="n"/>
      <c r="BV121" s="15" t="n"/>
      <c r="BW121" s="15" t="n"/>
      <c r="BX121" s="15" t="n"/>
      <c r="BY121" s="15" t="n"/>
      <c r="BZ121" s="15" t="n"/>
      <c r="CA121" s="15" t="n"/>
      <c r="CB121" s="15" t="n"/>
      <c r="CC121" s="15" t="n"/>
      <c r="CD121" s="15" t="n"/>
      <c r="CE121" s="15" t="n"/>
      <c r="CF121" s="15" t="n"/>
      <c r="CG121" s="15" t="n"/>
      <c r="CH121" s="15" t="n"/>
      <c r="CI121" s="15" t="n"/>
      <c r="CJ121" s="15" t="n"/>
      <c r="CK121" s="15" t="n"/>
      <c r="CL121" s="15" t="n"/>
      <c r="CM121" s="15" t="n"/>
      <c r="CN121" s="15" t="n"/>
      <c r="CO121" s="15" t="n"/>
      <c r="CP121" s="15" t="n"/>
      <c r="CQ121" s="15" t="n"/>
      <c r="CR121" s="15" t="n"/>
      <c r="CS121" s="15" t="n"/>
      <c r="CT121" s="15" t="n"/>
      <c r="CU121" s="15" t="n"/>
      <c r="CV121" s="15" t="n"/>
      <c r="CW121" s="15" t="n"/>
      <c r="CX121" s="15" t="n"/>
      <c r="CY121" s="15" t="n"/>
      <c r="CZ121" s="15" t="n"/>
      <c r="DA121" s="15" t="n"/>
      <c r="DB121" s="15" t="n"/>
      <c r="DC121" s="15" t="n"/>
      <c r="DD121" s="15" t="n"/>
      <c r="DE121" s="15" t="n"/>
      <c r="DF121" s="15" t="n"/>
      <c r="DG121" s="15" t="n"/>
      <c r="DH121" s="15" t="n"/>
      <c r="DI121" s="15" t="n"/>
      <c r="DJ121" s="15" t="n"/>
      <c r="DK121" s="15" t="n"/>
      <c r="DL121" s="15" t="n"/>
    </row>
    <row r="122">
      <c r="A122" s="14" t="inlineStr">
        <is>
          <t>36</t>
        </is>
      </c>
      <c r="B122" s="7" t="inlineStr">
        <is>
          <t>Notarial act</t>
        </is>
      </c>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c r="AH122" s="15" t="n"/>
      <c r="AI122" s="15" t="n"/>
      <c r="AJ122" s="15" t="n"/>
      <c r="AK122" s="15" t="n"/>
      <c r="AL122" s="15" t="n"/>
      <c r="AM122" s="15" t="n"/>
      <c r="AN122" s="15" t="n"/>
      <c r="AO122" s="15" t="n"/>
      <c r="AP122" s="15" t="n"/>
      <c r="AQ122" s="15" t="n"/>
      <c r="AR122" s="15" t="n"/>
      <c r="AS122" s="15" t="n"/>
      <c r="AT122" s="15" t="n"/>
      <c r="AU122" s="15" t="n"/>
      <c r="AV122" s="15" t="n"/>
      <c r="AW122" s="15" t="n"/>
      <c r="AX122" s="15" t="n"/>
      <c r="AY122" s="15" t="n"/>
      <c r="AZ122" s="15" t="n"/>
      <c r="BA122" s="15" t="n"/>
      <c r="BB122" s="15" t="n"/>
      <c r="BC122" s="15" t="n"/>
      <c r="BD122" s="15" t="n"/>
      <c r="BE122" s="15" t="n"/>
      <c r="BF122" s="15" t="n"/>
      <c r="BG122" s="15" t="n"/>
      <c r="BH122" s="15" t="n"/>
      <c r="BI122" s="15" t="n"/>
      <c r="BJ122" s="15" t="n"/>
      <c r="BK122" s="15" t="n"/>
      <c r="BL122" s="15" t="n"/>
      <c r="BM122" s="15" t="n"/>
      <c r="BN122" s="15" t="n"/>
      <c r="BO122" s="15" t="n"/>
      <c r="BP122" s="15" t="n"/>
      <c r="BQ122" s="15" t="n"/>
      <c r="BR122" s="15" t="n"/>
      <c r="BS122" s="15" t="n"/>
      <c r="BT122" s="15" t="n"/>
      <c r="BU122" s="15" t="n"/>
      <c r="BV122" s="15" t="n"/>
      <c r="BW122" s="15" t="n"/>
      <c r="BX122" s="15" t="n"/>
      <c r="BY122" s="15" t="n"/>
      <c r="BZ122" s="15" t="n"/>
      <c r="CA122" s="15" t="n"/>
      <c r="CB122" s="15" t="n"/>
      <c r="CC122" s="15" t="n"/>
      <c r="CD122" s="15" t="n"/>
      <c r="CE122" s="15" t="n"/>
      <c r="CF122" s="15" t="n"/>
      <c r="CG122" s="15" t="n"/>
      <c r="CH122" s="15" t="n"/>
      <c r="CI122" s="15" t="n"/>
      <c r="CJ122" s="15" t="n"/>
      <c r="CK122" s="15" t="n"/>
      <c r="CL122" s="15" t="n"/>
      <c r="CM122" s="15" t="n"/>
      <c r="CN122" s="15" t="n"/>
      <c r="CO122" s="15" t="n"/>
      <c r="CP122" s="15" t="n"/>
      <c r="CQ122" s="15" t="n"/>
      <c r="CR122" s="15" t="n"/>
      <c r="CS122" s="15" t="n"/>
      <c r="CT122" s="15" t="n"/>
      <c r="CU122" s="15" t="n"/>
      <c r="CV122" s="15" t="n"/>
      <c r="CW122" s="15" t="n"/>
      <c r="CX122" s="15" t="n"/>
      <c r="CY122" s="15" t="n"/>
      <c r="CZ122" s="15" t="n"/>
      <c r="DA122" s="15" t="n"/>
      <c r="DB122" s="15" t="n"/>
      <c r="DC122" s="15" t="n"/>
      <c r="DD122" s="15" t="n"/>
      <c r="DE122" s="15" t="n"/>
      <c r="DF122" s="15" t="n"/>
      <c r="DG122" s="15" t="n"/>
      <c r="DH122" s="15" t="n"/>
      <c r="DI122" s="15" t="n"/>
      <c r="DJ122" s="15" t="n"/>
      <c r="DK122" s="15" t="n"/>
      <c r="DL122" s="15" t="n"/>
    </row>
    <row r="123">
      <c r="A123" s="14" t="inlineStr">
        <is>
          <t>37(a)</t>
        </is>
      </c>
      <c r="B123" s="7" t="inlineStr">
        <is>
          <t>Broker note - goods / commodities / currencies</t>
        </is>
      </c>
      <c r="C123" s="15" t="n"/>
      <c r="D123" s="15" t="n"/>
      <c r="E123" s="15" t="n"/>
      <c r="F123" s="15" t="n"/>
      <c r="G123" s="15" t="n"/>
      <c r="H123" s="15" t="n"/>
      <c r="I123" s="15" t="n"/>
      <c r="J123" s="15" t="n"/>
      <c r="K123" s="15" t="n"/>
      <c r="L123" s="15" t="n"/>
      <c r="M123" s="15" t="n"/>
      <c r="N123" s="15" t="n"/>
      <c r="O123" s="15" t="n"/>
      <c r="P123" s="15" t="n"/>
      <c r="Q123" s="15" t="n"/>
      <c r="R123" s="15" t="n"/>
      <c r="S123" s="19" t="inlineStr">
        <is>
          <t>C</t>
        </is>
      </c>
      <c r="T123" s="15" t="n"/>
      <c r="U123" s="15" t="n"/>
      <c r="V123" s="15" t="n"/>
      <c r="W123" s="15" t="n"/>
      <c r="X123" s="15" t="n"/>
      <c r="Y123" s="15" t="n"/>
      <c r="Z123" s="15" t="n"/>
      <c r="AA123" s="15" t="n"/>
      <c r="AB123" s="15" t="n"/>
      <c r="AC123" s="15" t="n"/>
      <c r="AD123" s="15" t="n"/>
      <c r="AE123" s="15" t="n"/>
      <c r="AF123" s="15" t="n"/>
      <c r="AG123" s="15" t="n"/>
      <c r="AH123" s="15" t="n"/>
      <c r="AI123" s="15" t="n"/>
      <c r="AJ123" s="15" t="n"/>
      <c r="AK123" s="15" t="n"/>
      <c r="AL123" s="15" t="n"/>
      <c r="AM123" s="15" t="n"/>
      <c r="AN123" s="15" t="n"/>
      <c r="AO123" s="15" t="n"/>
      <c r="AP123" s="15" t="n"/>
      <c r="AQ123" s="15" t="n"/>
      <c r="AR123" s="15" t="n"/>
      <c r="AS123" s="15" t="n"/>
      <c r="AT123" s="15" t="n"/>
      <c r="AU123" s="15" t="n"/>
      <c r="AV123" s="15" t="n"/>
      <c r="AW123" s="15" t="n"/>
      <c r="AX123" s="15" t="n"/>
      <c r="AY123" s="15" t="n"/>
      <c r="AZ123" s="15" t="n"/>
      <c r="BA123" s="15" t="n"/>
      <c r="BB123" s="15" t="n"/>
      <c r="BC123" s="15" t="n"/>
      <c r="BD123" s="15" t="n"/>
      <c r="BE123" s="15" t="n"/>
      <c r="BF123" s="15" t="n"/>
      <c r="BG123" s="15" t="n"/>
      <c r="BH123" s="15" t="n"/>
      <c r="BI123" s="15" t="n"/>
      <c r="BJ123" s="15" t="n"/>
      <c r="BK123" s="15" t="n"/>
      <c r="BL123" s="15" t="n"/>
      <c r="BM123" s="15" t="n"/>
      <c r="BN123" s="15" t="n"/>
      <c r="BO123" s="15" t="n"/>
      <c r="BP123" s="15" t="n"/>
      <c r="BQ123" s="15" t="n"/>
      <c r="BR123" s="15" t="n"/>
      <c r="BS123" s="15" t="n"/>
      <c r="BT123" s="15" t="n"/>
      <c r="BU123" s="15" t="n"/>
      <c r="BV123" s="15" t="n"/>
      <c r="BW123" s="15" t="n"/>
      <c r="BX123" s="15" t="n"/>
      <c r="BY123" s="15" t="n"/>
      <c r="BZ123" s="15" t="n"/>
      <c r="CA123" s="15" t="n"/>
      <c r="CB123" s="15" t="n"/>
      <c r="CC123" s="15" t="n"/>
      <c r="CD123" s="15" t="n"/>
      <c r="CE123" s="15" t="n"/>
      <c r="CF123" s="15" t="n"/>
      <c r="CG123" s="15" t="n"/>
      <c r="CH123" s="15" t="n"/>
      <c r="CI123" s="17" t="inlineStr">
        <is>
          <t>I</t>
        </is>
      </c>
      <c r="CJ123" s="15" t="n"/>
      <c r="CK123" s="15" t="n"/>
      <c r="CL123" s="15" t="n"/>
      <c r="CM123" s="15" t="n"/>
      <c r="CN123" s="15" t="n"/>
      <c r="CO123" s="15" t="n"/>
      <c r="CP123" s="15" t="n"/>
      <c r="CQ123" s="15" t="n"/>
      <c r="CR123" s="15" t="n"/>
      <c r="CS123" s="15" t="n"/>
      <c r="CT123" s="15" t="n"/>
      <c r="CU123" s="15" t="n"/>
      <c r="CV123" s="15" t="n"/>
      <c r="CW123" s="15" t="n"/>
      <c r="CX123" s="15" t="n"/>
      <c r="CY123" s="15" t="n"/>
      <c r="CZ123" s="15" t="n"/>
      <c r="DA123" s="15" t="n"/>
      <c r="DB123" s="15" t="n"/>
      <c r="DC123" s="15" t="n"/>
      <c r="DD123" s="15" t="n"/>
      <c r="DE123" s="15" t="n"/>
      <c r="DF123" s="15" t="n"/>
      <c r="DG123" s="15" t="n"/>
      <c r="DH123" s="15" t="n"/>
      <c r="DI123" s="15" t="n"/>
      <c r="DJ123" s="15" t="n"/>
      <c r="DK123" s="15" t="n"/>
      <c r="DL123" s="15" t="n"/>
    </row>
    <row r="124">
      <c r="A124" s="14" t="inlineStr">
        <is>
          <t>37(b)</t>
        </is>
      </c>
      <c r="B124" s="7" t="inlineStr">
        <is>
          <t>Broker note - shares / non-Govt securities</t>
        </is>
      </c>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c r="V124" s="15" t="n"/>
      <c r="W124" s="15" t="n"/>
      <c r="X124" s="15" t="n"/>
      <c r="Y124" s="15" t="n"/>
      <c r="Z124" s="15" t="n"/>
      <c r="AA124" s="19" t="inlineStr">
        <is>
          <t>C</t>
        </is>
      </c>
      <c r="AB124" s="15" t="n"/>
      <c r="AC124" s="15" t="n"/>
      <c r="AD124" s="15" t="n"/>
      <c r="AE124" s="15" t="n"/>
      <c r="AF124" s="15" t="n"/>
      <c r="AG124" s="15" t="n"/>
      <c r="AH124" s="15" t="n"/>
      <c r="AI124" s="15" t="n"/>
      <c r="AJ124" s="15" t="n"/>
      <c r="AK124" s="15" t="n"/>
      <c r="AL124" s="15" t="n"/>
      <c r="AM124" s="15" t="n"/>
      <c r="AN124" s="15" t="n"/>
      <c r="AO124" s="15" t="n"/>
      <c r="AP124" s="15" t="n"/>
      <c r="AQ124" s="15" t="n"/>
      <c r="AR124" s="15" t="n"/>
      <c r="AS124" s="15" t="n"/>
      <c r="AT124" s="15" t="n"/>
      <c r="AU124" s="15" t="n"/>
      <c r="AV124" s="15" t="n"/>
      <c r="AW124" s="15" t="n"/>
      <c r="AX124" s="15" t="n"/>
      <c r="AY124" s="15" t="n"/>
      <c r="AZ124" s="15" t="n"/>
      <c r="BA124" s="15" t="n"/>
      <c r="BB124" s="15" t="n"/>
      <c r="BC124" s="15" t="n"/>
      <c r="BD124" s="15" t="n"/>
      <c r="BE124" s="15" t="n"/>
      <c r="BF124" s="15" t="n"/>
      <c r="BG124" s="15" t="n"/>
      <c r="BH124" s="15" t="n"/>
      <c r="BI124" s="15" t="n"/>
      <c r="BJ124" s="15" t="n"/>
      <c r="BK124" s="15" t="n"/>
      <c r="BL124" s="15" t="n"/>
      <c r="BM124" s="15" t="n"/>
      <c r="BN124" s="15" t="n"/>
      <c r="BO124" s="15" t="n"/>
      <c r="BP124" s="15" t="n"/>
      <c r="BQ124" s="15" t="n"/>
      <c r="BR124" s="15" t="n"/>
      <c r="BS124" s="15" t="n"/>
      <c r="BT124" s="15" t="n"/>
      <c r="BU124" s="15" t="n"/>
      <c r="BV124" s="15" t="n"/>
      <c r="BW124" s="15" t="n"/>
      <c r="BX124" s="15" t="n"/>
      <c r="BY124" s="15" t="n"/>
      <c r="BZ124" s="15" t="n"/>
      <c r="CA124" s="15" t="n"/>
      <c r="CB124" s="15" t="n"/>
      <c r="CC124" s="15" t="n"/>
      <c r="CD124" s="15" t="n"/>
      <c r="CE124" s="15" t="n"/>
      <c r="CF124" s="15" t="n"/>
      <c r="CG124" s="15" t="n"/>
      <c r="CH124" s="15" t="n"/>
      <c r="CI124" s="17" t="inlineStr">
        <is>
          <t>I</t>
        </is>
      </c>
      <c r="CJ124" s="15" t="n"/>
      <c r="CK124" s="15" t="n"/>
      <c r="CL124" s="15" t="n"/>
      <c r="CM124" s="15" t="n"/>
      <c r="CN124" s="15" t="n"/>
      <c r="CO124" s="15" t="n"/>
      <c r="CP124" s="15" t="n"/>
      <c r="CQ124" s="15" t="n"/>
      <c r="CR124" s="15" t="n"/>
      <c r="CS124" s="15" t="n"/>
      <c r="CT124" s="15" t="n"/>
      <c r="CU124" s="15" t="n"/>
      <c r="CV124" s="15" t="n"/>
      <c r="CW124" s="15" t="n"/>
      <c r="CX124" s="15" t="n"/>
      <c r="CY124" s="15" t="n"/>
      <c r="CZ124" s="15" t="n"/>
      <c r="DA124" s="15" t="n"/>
      <c r="DB124" s="15" t="n"/>
      <c r="DC124" s="15" t="n"/>
      <c r="DD124" s="15" t="n"/>
      <c r="DE124" s="15" t="n"/>
      <c r="DF124" s="15" t="n"/>
      <c r="DG124" s="15" t="n"/>
      <c r="DH124" s="15" t="n"/>
      <c r="DI124" s="15" t="n"/>
      <c r="DJ124" s="15" t="n"/>
      <c r="DK124" s="15" t="n"/>
      <c r="DL124" s="15" t="n"/>
    </row>
    <row r="125">
      <c r="A125" s="14" t="inlineStr">
        <is>
          <t>37(c)</t>
        </is>
      </c>
      <c r="B125" s="7" t="inlineStr">
        <is>
          <t>Broker note - Government security</t>
        </is>
      </c>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c r="V125" s="15" t="n"/>
      <c r="W125" s="15" t="n"/>
      <c r="X125" s="15" t="n"/>
      <c r="Y125" s="15" t="n"/>
      <c r="Z125" s="15" t="n"/>
      <c r="AA125" s="19" t="inlineStr">
        <is>
          <t>C</t>
        </is>
      </c>
      <c r="AB125" s="15" t="n"/>
      <c r="AC125" s="15" t="n"/>
      <c r="AD125" s="15" t="n"/>
      <c r="AE125" s="15" t="n"/>
      <c r="AF125" s="15" t="n"/>
      <c r="AG125" s="15" t="n"/>
      <c r="AH125" s="15" t="n"/>
      <c r="AI125" s="15" t="n"/>
      <c r="AJ125" s="15" t="n"/>
      <c r="AK125" s="15" t="n"/>
      <c r="AL125" s="15" t="n"/>
      <c r="AM125" s="15" t="n"/>
      <c r="AN125" s="15" t="n"/>
      <c r="AO125" s="15" t="n"/>
      <c r="AP125" s="15" t="n"/>
      <c r="AQ125" s="15" t="n"/>
      <c r="AR125" s="15" t="n"/>
      <c r="AS125" s="15" t="n"/>
      <c r="AT125" s="15" t="n"/>
      <c r="AU125" s="15" t="n"/>
      <c r="AV125" s="15" t="n"/>
      <c r="AW125" s="15" t="n"/>
      <c r="AX125" s="15" t="n"/>
      <c r="AY125" s="15" t="n"/>
      <c r="AZ125" s="15" t="n"/>
      <c r="BA125" s="15" t="n"/>
      <c r="BB125" s="15" t="n"/>
      <c r="BC125" s="15" t="n"/>
      <c r="BD125" s="15" t="n"/>
      <c r="BE125" s="15" t="n"/>
      <c r="BF125" s="15" t="n"/>
      <c r="BG125" s="15" t="n"/>
      <c r="BH125" s="15" t="n"/>
      <c r="BI125" s="15" t="n"/>
      <c r="BJ125" s="15" t="n"/>
      <c r="BK125" s="15" t="n"/>
      <c r="BL125" s="15" t="n"/>
      <c r="BM125" s="15" t="n"/>
      <c r="BN125" s="15" t="n"/>
      <c r="BO125" s="15" t="n"/>
      <c r="BP125" s="15" t="n"/>
      <c r="BQ125" s="15" t="n"/>
      <c r="BR125" s="15" t="n"/>
      <c r="BS125" s="15" t="n"/>
      <c r="BT125" s="15" t="n"/>
      <c r="BU125" s="15" t="n"/>
      <c r="BV125" s="15" t="n"/>
      <c r="BW125" s="15" t="n"/>
      <c r="BX125" s="15" t="n"/>
      <c r="BY125" s="15" t="n"/>
      <c r="BZ125" s="15" t="n"/>
      <c r="CA125" s="15" t="n"/>
      <c r="CB125" s="15" t="n"/>
      <c r="CC125" s="15" t="n"/>
      <c r="CD125" s="15" t="n"/>
      <c r="CE125" s="15" t="n"/>
      <c r="CF125" s="15" t="n"/>
      <c r="CG125" s="15" t="n"/>
      <c r="CH125" s="15" t="n"/>
      <c r="CI125" s="17" t="inlineStr">
        <is>
          <t>I</t>
        </is>
      </c>
      <c r="CJ125" s="15" t="n"/>
      <c r="CK125" s="15" t="n"/>
      <c r="CL125" s="15" t="n"/>
      <c r="CM125" s="15" t="n"/>
      <c r="CN125" s="15" t="n"/>
      <c r="CO125" s="15" t="n"/>
      <c r="CP125" s="15" t="n"/>
      <c r="CQ125" s="15" t="n"/>
      <c r="CR125" s="15" t="n"/>
      <c r="CS125" s="15" t="n"/>
      <c r="CT125" s="15" t="n"/>
      <c r="CU125" s="15" t="n"/>
      <c r="CV125" s="15" t="n"/>
      <c r="CW125" s="15" t="n"/>
      <c r="CX125" s="15" t="n"/>
      <c r="CY125" s="15" t="n"/>
      <c r="CZ125" s="15" t="n"/>
      <c r="DA125" s="15" t="n"/>
      <c r="DB125" s="15" t="n"/>
      <c r="DC125" s="15" t="n"/>
      <c r="DD125" s="15" t="n"/>
      <c r="DE125" s="15" t="n"/>
      <c r="DF125" s="15" t="n"/>
      <c r="DG125" s="15" t="n"/>
      <c r="DH125" s="15" t="n"/>
      <c r="DI125" s="15" t="n"/>
      <c r="DJ125" s="15" t="n"/>
      <c r="DK125" s="15" t="n"/>
      <c r="DL125" s="15" t="n"/>
    </row>
    <row r="126">
      <c r="A126" s="14" t="inlineStr">
        <is>
          <t>37(d)</t>
        </is>
      </c>
      <c r="B126" s="7" t="inlineStr">
        <is>
          <t>Broker note - other securities (delivery / non-delivery)</t>
        </is>
      </c>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c r="V126" s="15" t="n"/>
      <c r="W126" s="15" t="n"/>
      <c r="X126" s="15" t="n"/>
      <c r="Y126" s="15" t="n"/>
      <c r="Z126" s="15" t="n"/>
      <c r="AA126" s="19" t="inlineStr">
        <is>
          <t>C</t>
        </is>
      </c>
      <c r="AB126" s="15" t="n"/>
      <c r="AC126" s="15" t="n"/>
      <c r="AD126" s="15" t="n"/>
      <c r="AE126" s="15" t="n"/>
      <c r="AF126" s="15" t="n"/>
      <c r="AG126" s="15" t="n"/>
      <c r="AH126" s="15" t="n"/>
      <c r="AI126" s="15" t="n"/>
      <c r="AJ126" s="15" t="n"/>
      <c r="AK126" s="15" t="n"/>
      <c r="AL126" s="15" t="n"/>
      <c r="AM126" s="15" t="n"/>
      <c r="AN126" s="15" t="n"/>
      <c r="AO126" s="15" t="n"/>
      <c r="AP126" s="15" t="n"/>
      <c r="AQ126" s="15" t="n"/>
      <c r="AR126" s="15" t="n"/>
      <c r="AS126" s="15" t="n"/>
      <c r="AT126" s="15" t="n"/>
      <c r="AU126" s="15" t="n"/>
      <c r="AV126" s="15" t="n"/>
      <c r="AW126" s="15" t="n"/>
      <c r="AX126" s="15" t="n"/>
      <c r="AY126" s="15" t="n"/>
      <c r="AZ126" s="15" t="n"/>
      <c r="BA126" s="15" t="n"/>
      <c r="BB126" s="15" t="n"/>
      <c r="BC126" s="15" t="n"/>
      <c r="BD126" s="15" t="n"/>
      <c r="BE126" s="15" t="n"/>
      <c r="BF126" s="15" t="n"/>
      <c r="BG126" s="15" t="n"/>
      <c r="BH126" s="15" t="n"/>
      <c r="BI126" s="15" t="n"/>
      <c r="BJ126" s="15" t="n"/>
      <c r="BK126" s="15" t="n"/>
      <c r="BL126" s="15" t="n"/>
      <c r="BM126" s="15" t="n"/>
      <c r="BN126" s="15" t="n"/>
      <c r="BO126" s="15" t="n"/>
      <c r="BP126" s="15" t="n"/>
      <c r="BQ126" s="15" t="n"/>
      <c r="BR126" s="15" t="n"/>
      <c r="BS126" s="15" t="n"/>
      <c r="BT126" s="15" t="n"/>
      <c r="BU126" s="15" t="n"/>
      <c r="BV126" s="15" t="n"/>
      <c r="BW126" s="15" t="n"/>
      <c r="BX126" s="15" t="n"/>
      <c r="BY126" s="15" t="n"/>
      <c r="BZ126" s="15" t="n"/>
      <c r="CA126" s="15" t="n"/>
      <c r="CB126" s="15" t="n"/>
      <c r="CC126" s="15" t="n"/>
      <c r="CD126" s="15" t="n"/>
      <c r="CE126" s="15" t="n"/>
      <c r="CF126" s="15" t="n"/>
      <c r="CG126" s="15" t="n"/>
      <c r="CH126" s="15" t="n"/>
      <c r="CI126" s="17" t="inlineStr">
        <is>
          <t>I</t>
        </is>
      </c>
      <c r="CJ126" s="15" t="n"/>
      <c r="CK126" s="15" t="n"/>
      <c r="CL126" s="15" t="n"/>
      <c r="CM126" s="15" t="n"/>
      <c r="CN126" s="15" t="n"/>
      <c r="CO126" s="15" t="n"/>
      <c r="CP126" s="15" t="n"/>
      <c r="CQ126" s="15" t="n"/>
      <c r="CR126" s="15" t="n"/>
      <c r="CS126" s="15" t="n"/>
      <c r="CT126" s="15" t="n"/>
      <c r="CU126" s="15" t="n"/>
      <c r="CV126" s="15" t="n"/>
      <c r="CW126" s="15" t="n"/>
      <c r="CX126" s="15" t="n"/>
      <c r="CY126" s="15" t="n"/>
      <c r="CZ126" s="15" t="n"/>
      <c r="DA126" s="15" t="n"/>
      <c r="DB126" s="15" t="n"/>
      <c r="DC126" s="15" t="n"/>
      <c r="DD126" s="15" t="n"/>
      <c r="DE126" s="15" t="n"/>
      <c r="DF126" s="15" t="n"/>
      <c r="DG126" s="15" t="n"/>
      <c r="DH126" s="15" t="n"/>
      <c r="DI126" s="15" t="n"/>
      <c r="DJ126" s="15" t="n"/>
      <c r="DK126" s="15" t="n"/>
      <c r="DL126" s="15" t="n"/>
    </row>
    <row r="127">
      <c r="A127" s="14" t="inlineStr">
        <is>
          <t>37(e)</t>
        </is>
      </c>
      <c r="B127" s="7" t="inlineStr">
        <is>
          <t>Broker note - futures &amp; options</t>
        </is>
      </c>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c r="V127" s="15" t="n"/>
      <c r="W127" s="15" t="n"/>
      <c r="X127" s="15" t="n"/>
      <c r="Y127" s="15" t="n"/>
      <c r="Z127" s="15" t="n"/>
      <c r="AA127" s="19" t="inlineStr">
        <is>
          <t>C</t>
        </is>
      </c>
      <c r="AB127" s="15" t="n"/>
      <c r="AC127" s="15" t="n"/>
      <c r="AD127" s="15" t="n"/>
      <c r="AE127" s="15" t="n"/>
      <c r="AF127" s="15" t="n"/>
      <c r="AG127" s="15" t="n"/>
      <c r="AH127" s="15" t="n"/>
      <c r="AI127" s="15" t="n"/>
      <c r="AJ127" s="15" t="n"/>
      <c r="AK127" s="15" t="n"/>
      <c r="AL127" s="15" t="n"/>
      <c r="AM127" s="15" t="n"/>
      <c r="AN127" s="15" t="n"/>
      <c r="AO127" s="15" t="n"/>
      <c r="AP127" s="15" t="n"/>
      <c r="AQ127" s="15" t="n"/>
      <c r="AR127" s="15" t="n"/>
      <c r="AS127" s="15" t="n"/>
      <c r="AT127" s="15" t="n"/>
      <c r="AU127" s="15" t="n"/>
      <c r="AV127" s="15" t="n"/>
      <c r="AW127" s="15" t="n"/>
      <c r="AX127" s="15" t="n"/>
      <c r="AY127" s="15" t="n"/>
      <c r="AZ127" s="15" t="n"/>
      <c r="BA127" s="15" t="n"/>
      <c r="BB127" s="15" t="n"/>
      <c r="BC127" s="15" t="n"/>
      <c r="BD127" s="15" t="n"/>
      <c r="BE127" s="15" t="n"/>
      <c r="BF127" s="15" t="n"/>
      <c r="BG127" s="15" t="n"/>
      <c r="BH127" s="15" t="n"/>
      <c r="BI127" s="15" t="n"/>
      <c r="BJ127" s="15" t="n"/>
      <c r="BK127" s="15" t="n"/>
      <c r="BL127" s="15" t="n"/>
      <c r="BM127" s="15" t="n"/>
      <c r="BN127" s="15" t="n"/>
      <c r="BO127" s="15" t="n"/>
      <c r="BP127" s="15" t="n"/>
      <c r="BQ127" s="15" t="n"/>
      <c r="BR127" s="15" t="n"/>
      <c r="BS127" s="15" t="n"/>
      <c r="BT127" s="15" t="n"/>
      <c r="BU127" s="15" t="n"/>
      <c r="BV127" s="15" t="n"/>
      <c r="BW127" s="15" t="n"/>
      <c r="BX127" s="15" t="n"/>
      <c r="BY127" s="15" t="n"/>
      <c r="BZ127" s="15" t="n"/>
      <c r="CA127" s="15" t="n"/>
      <c r="CB127" s="15" t="n"/>
      <c r="CC127" s="15" t="n"/>
      <c r="CD127" s="15" t="n"/>
      <c r="CE127" s="15" t="n"/>
      <c r="CF127" s="15" t="n"/>
      <c r="CG127" s="15" t="n"/>
      <c r="CH127" s="15" t="n"/>
      <c r="CI127" s="17" t="inlineStr">
        <is>
          <t>I</t>
        </is>
      </c>
      <c r="CJ127" s="15" t="n"/>
      <c r="CK127" s="15" t="n"/>
      <c r="CL127" s="15" t="n"/>
      <c r="CM127" s="15" t="n"/>
      <c r="CN127" s="15" t="n"/>
      <c r="CO127" s="15" t="n"/>
      <c r="CP127" s="15" t="n"/>
      <c r="CQ127" s="15" t="n"/>
      <c r="CR127" s="15" t="n"/>
      <c r="CS127" s="15" t="n"/>
      <c r="CT127" s="15" t="n"/>
      <c r="CU127" s="15" t="n"/>
      <c r="CV127" s="15" t="n"/>
      <c r="CW127" s="15" t="n"/>
      <c r="CX127" s="15" t="n"/>
      <c r="CY127" s="15" t="n"/>
      <c r="CZ127" s="15" t="n"/>
      <c r="DA127" s="15" t="n"/>
      <c r="DB127" s="15" t="n"/>
      <c r="DC127" s="15" t="n"/>
      <c r="DD127" s="15" t="n"/>
      <c r="DE127" s="15" t="n"/>
      <c r="DF127" s="15" t="n"/>
      <c r="DG127" s="15" t="n"/>
      <c r="DH127" s="15" t="n"/>
      <c r="DI127" s="15" t="n"/>
      <c r="DJ127" s="15" t="n"/>
      <c r="DK127" s="15" t="n"/>
      <c r="DL127" s="15" t="n"/>
    </row>
    <row r="128">
      <c r="A128" s="14" t="inlineStr">
        <is>
          <t>37(f)</t>
        </is>
      </c>
      <c r="B128" s="7" t="inlineStr">
        <is>
          <t>Broker note - forward contracts of commodities</t>
        </is>
      </c>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c r="V128" s="15" t="n"/>
      <c r="W128" s="15" t="n"/>
      <c r="X128" s="15" t="n"/>
      <c r="Y128" s="15" t="n"/>
      <c r="Z128" s="15" t="n"/>
      <c r="AA128" s="19" t="inlineStr">
        <is>
          <t>C</t>
        </is>
      </c>
      <c r="AB128" s="15" t="n"/>
      <c r="AC128" s="15" t="n"/>
      <c r="AD128" s="15" t="n"/>
      <c r="AE128" s="15" t="n"/>
      <c r="AF128" s="15" t="n"/>
      <c r="AG128" s="15" t="n"/>
      <c r="AH128" s="15" t="n"/>
      <c r="AI128" s="15" t="n"/>
      <c r="AJ128" s="15" t="n"/>
      <c r="AK128" s="15" t="n"/>
      <c r="AL128" s="15" t="n"/>
      <c r="AM128" s="15" t="n"/>
      <c r="AN128" s="15" t="n"/>
      <c r="AO128" s="15" t="n"/>
      <c r="AP128" s="15" t="n"/>
      <c r="AQ128" s="15" t="n"/>
      <c r="AR128" s="15" t="n"/>
      <c r="AS128" s="15" t="n"/>
      <c r="AT128" s="15" t="n"/>
      <c r="AU128" s="15" t="n"/>
      <c r="AV128" s="15" t="n"/>
      <c r="AW128" s="15" t="n"/>
      <c r="AX128" s="15" t="n"/>
      <c r="AY128" s="15" t="n"/>
      <c r="AZ128" s="15" t="n"/>
      <c r="BA128" s="15" t="n"/>
      <c r="BB128" s="15" t="n"/>
      <c r="BC128" s="15" t="n"/>
      <c r="BD128" s="15" t="n"/>
      <c r="BE128" s="15" t="n"/>
      <c r="BF128" s="15" t="n"/>
      <c r="BG128" s="15" t="n"/>
      <c r="BH128" s="15" t="n"/>
      <c r="BI128" s="15" t="n"/>
      <c r="BJ128" s="15" t="n"/>
      <c r="BK128" s="15" t="n"/>
      <c r="BL128" s="15" t="n"/>
      <c r="BM128" s="15" t="n"/>
      <c r="BN128" s="15" t="n"/>
      <c r="BO128" s="15" t="n"/>
      <c r="BP128" s="15" t="n"/>
      <c r="BQ128" s="15" t="n"/>
      <c r="BR128" s="15" t="n"/>
      <c r="BS128" s="15" t="n"/>
      <c r="BT128" s="15" t="n"/>
      <c r="BU128" s="15" t="n"/>
      <c r="BV128" s="15" t="n"/>
      <c r="BW128" s="15" t="n"/>
      <c r="BX128" s="15" t="n"/>
      <c r="BY128" s="15" t="n"/>
      <c r="BZ128" s="15" t="n"/>
      <c r="CA128" s="15" t="n"/>
      <c r="CB128" s="15" t="n"/>
      <c r="CC128" s="15" t="n"/>
      <c r="CD128" s="15" t="n"/>
      <c r="CE128" s="15" t="n"/>
      <c r="CF128" s="15" t="n"/>
      <c r="CG128" s="15" t="n"/>
      <c r="CH128" s="15" t="n"/>
      <c r="CI128" s="17" t="inlineStr">
        <is>
          <t>I</t>
        </is>
      </c>
      <c r="CJ128" s="15" t="n"/>
      <c r="CK128" s="15" t="n"/>
      <c r="CL128" s="15" t="n"/>
      <c r="CM128" s="15" t="n"/>
      <c r="CN128" s="15" t="n"/>
      <c r="CO128" s="15" t="n"/>
      <c r="CP128" s="15" t="n"/>
      <c r="CQ128" s="15" t="n"/>
      <c r="CR128" s="15" t="n"/>
      <c r="CS128" s="15" t="n"/>
      <c r="CT128" s="15" t="n"/>
      <c r="CU128" s="15" t="n"/>
      <c r="CV128" s="15" t="n"/>
      <c r="CW128" s="15" t="n"/>
      <c r="CX128" s="15" t="n"/>
      <c r="CY128" s="15" t="n"/>
      <c r="CZ128" s="15" t="n"/>
      <c r="DA128" s="15" t="n"/>
      <c r="DB128" s="15" t="n"/>
      <c r="DC128" s="15" t="n"/>
      <c r="DD128" s="15" t="n"/>
      <c r="DE128" s="15" t="n"/>
      <c r="DF128" s="15" t="n"/>
      <c r="DG128" s="15" t="n"/>
      <c r="DH128" s="15" t="n"/>
      <c r="DI128" s="15" t="n"/>
      <c r="DJ128" s="15" t="n"/>
      <c r="DK128" s="15" t="n"/>
      <c r="DL128" s="15" t="n"/>
    </row>
    <row r="129">
      <c r="A129" s="14" t="inlineStr">
        <is>
          <t>38</t>
        </is>
      </c>
      <c r="B129" s="7" t="inlineStr">
        <is>
          <t>Note of protest by master of ship</t>
        </is>
      </c>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c r="AH129" s="15" t="n"/>
      <c r="AI129" s="15" t="n"/>
      <c r="AJ129" s="15" t="n"/>
      <c r="AK129" s="15" t="n"/>
      <c r="AL129" s="15" t="n"/>
      <c r="AM129" s="15" t="n"/>
      <c r="AN129" s="15" t="n"/>
      <c r="AO129" s="15" t="n"/>
      <c r="AP129" s="15" t="n"/>
      <c r="AQ129" s="15" t="n"/>
      <c r="AR129" s="15" t="n"/>
      <c r="AS129" s="15" t="n"/>
      <c r="AT129" s="15" t="n"/>
      <c r="AU129" s="15" t="n"/>
      <c r="AV129" s="15" t="n"/>
      <c r="AW129" s="15" t="n"/>
      <c r="AX129" s="15" t="n"/>
      <c r="AY129" s="15" t="n"/>
      <c r="AZ129" s="15" t="n"/>
      <c r="BA129" s="15" t="n"/>
      <c r="BB129" s="15" t="n"/>
      <c r="BC129" s="15" t="n"/>
      <c r="BD129" s="15" t="n"/>
      <c r="BE129" s="15" t="n"/>
      <c r="BF129" s="15" t="n"/>
      <c r="BG129" s="15" t="n"/>
      <c r="BH129" s="15" t="n"/>
      <c r="BI129" s="15" t="n"/>
      <c r="BJ129" s="15" t="n"/>
      <c r="BK129" s="15" t="n"/>
      <c r="BL129" s="15" t="n"/>
      <c r="BM129" s="15" t="n"/>
      <c r="BN129" s="15" t="n"/>
      <c r="BO129" s="15" t="n"/>
      <c r="BP129" s="15" t="n"/>
      <c r="BQ129" s="15" t="n"/>
      <c r="BR129" s="15" t="n"/>
      <c r="BS129" s="15" t="n"/>
      <c r="BT129" s="15" t="n"/>
      <c r="BU129" s="15" t="n"/>
      <c r="BV129" s="15" t="n"/>
      <c r="BW129" s="15" t="n"/>
      <c r="BX129" s="15" t="n"/>
      <c r="BY129" s="15" t="n"/>
      <c r="BZ129" s="15" t="n"/>
      <c r="CA129" s="15" t="n"/>
      <c r="CB129" s="15" t="n"/>
      <c r="CC129" s="15" t="n"/>
      <c r="CD129" s="15" t="n"/>
      <c r="CE129" s="15" t="n"/>
      <c r="CF129" s="15" t="n"/>
      <c r="CG129" s="15" t="n"/>
      <c r="CH129" s="15" t="n"/>
      <c r="CI129" s="15" t="n"/>
      <c r="CJ129" s="15" t="n"/>
      <c r="CK129" s="15" t="n"/>
      <c r="CL129" s="15" t="n"/>
      <c r="CM129" s="15" t="n"/>
      <c r="CN129" s="15" t="n"/>
      <c r="CO129" s="15" t="n"/>
      <c r="CP129" s="15" t="n"/>
      <c r="CQ129" s="15" t="n"/>
      <c r="CR129" s="15" t="n"/>
      <c r="CS129" s="15" t="n"/>
      <c r="CT129" s="15" t="n"/>
      <c r="CU129" s="15" t="n"/>
      <c r="CV129" s="15" t="n"/>
      <c r="CW129" s="15" t="n"/>
      <c r="CX129" s="15" t="n"/>
      <c r="CY129" s="15" t="n"/>
      <c r="CZ129" s="15" t="n"/>
      <c r="DA129" s="15" t="n"/>
      <c r="DB129" s="15" t="n"/>
      <c r="DC129" s="15" t="n"/>
      <c r="DD129" s="15" t="n"/>
      <c r="DE129" s="15" t="n"/>
      <c r="DF129" s="15" t="n"/>
      <c r="DG129" s="15" t="n"/>
      <c r="DH129" s="15" t="n"/>
      <c r="DI129" s="15" t="n"/>
      <c r="DJ129" s="15" t="n"/>
      <c r="DK129" s="15" t="n"/>
      <c r="DL129" s="15" t="n"/>
    </row>
    <row r="130">
      <c r="A130" s="14" t="inlineStr">
        <is>
          <t>39(a)(1)</t>
        </is>
      </c>
      <c r="B130" s="7" t="inlineStr">
        <is>
          <t>Partition - non-agricultural property in urban local body</t>
        </is>
      </c>
      <c r="C130" s="15" t="n"/>
      <c r="D130" s="15" t="n"/>
      <c r="E130" s="15" t="n"/>
      <c r="F130" s="15" t="n"/>
      <c r="G130" s="15" t="n"/>
      <c r="H130" s="15" t="n"/>
      <c r="I130" s="15" t="n"/>
      <c r="J130" s="15" t="n"/>
      <c r="K130" s="17" t="inlineStr">
        <is>
          <t>I</t>
        </is>
      </c>
      <c r="L130" s="15" t="n"/>
      <c r="M130" s="15" t="n"/>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c r="AH130" s="15" t="n"/>
      <c r="AI130" s="15" t="n"/>
      <c r="AJ130" s="15" t="n"/>
      <c r="AK130" s="15" t="n"/>
      <c r="AL130" s="15" t="n"/>
      <c r="AM130" s="15" t="n"/>
      <c r="AN130" s="15" t="n"/>
      <c r="AO130" s="15" t="n"/>
      <c r="AP130" s="15" t="n"/>
      <c r="AQ130" s="15" t="n"/>
      <c r="AR130" s="15" t="n"/>
      <c r="AS130" s="15" t="n"/>
      <c r="AT130" s="15" t="n"/>
      <c r="AU130" s="15" t="n"/>
      <c r="AV130" s="15" t="n"/>
      <c r="AW130" s="15" t="n"/>
      <c r="AX130" s="15" t="n"/>
      <c r="AY130" s="15" t="n"/>
      <c r="AZ130" s="15" t="n"/>
      <c r="BA130" s="15" t="n"/>
      <c r="BB130" s="15" t="n"/>
      <c r="BC130" s="15" t="n"/>
      <c r="BD130" s="15" t="n"/>
      <c r="BE130" s="15" t="n"/>
      <c r="BF130" s="15" t="n"/>
      <c r="BG130" s="15" t="n"/>
      <c r="BH130" s="15" t="n"/>
      <c r="BI130" s="15" t="n"/>
      <c r="BJ130" s="15" t="n"/>
      <c r="BK130" s="15" t="n"/>
      <c r="BL130" s="15" t="n"/>
      <c r="BM130" s="15" t="n"/>
      <c r="BN130" s="19" t="inlineStr">
        <is>
          <t>C</t>
        </is>
      </c>
      <c r="BO130" s="17" t="inlineStr">
        <is>
          <t>I</t>
        </is>
      </c>
      <c r="BP130" s="18" t="inlineStr">
        <is>
          <t>E</t>
        </is>
      </c>
      <c r="BQ130" s="15" t="n"/>
      <c r="BR130" s="15" t="n"/>
      <c r="BS130" s="15" t="n"/>
      <c r="BT130" s="15" t="n"/>
      <c r="BU130" s="15" t="n"/>
      <c r="BV130" s="15" t="n"/>
      <c r="BW130" s="15" t="n"/>
      <c r="BX130" s="15" t="n"/>
      <c r="BY130" s="15" t="n"/>
      <c r="BZ130" s="15" t="n"/>
      <c r="CA130" s="15" t="n"/>
      <c r="CB130" s="15" t="n"/>
      <c r="CC130" s="15" t="n"/>
      <c r="CD130" s="15" t="n"/>
      <c r="CE130" s="15" t="n"/>
      <c r="CF130" s="15" t="n"/>
      <c r="CG130" s="15" t="n"/>
      <c r="CH130" s="15" t="n"/>
      <c r="CI130" s="15" t="n"/>
      <c r="CJ130" s="15" t="n"/>
      <c r="CK130" s="15" t="n"/>
      <c r="CL130" s="15" t="n"/>
      <c r="CM130" s="15" t="n"/>
      <c r="CN130" s="15" t="n"/>
      <c r="CO130" s="15" t="n"/>
      <c r="CP130" s="15" t="n"/>
      <c r="CQ130" s="15" t="n"/>
      <c r="CR130" s="15" t="n"/>
      <c r="CS130" s="15" t="n"/>
      <c r="CT130" s="15" t="n"/>
      <c r="CU130" s="15" t="n"/>
      <c r="CV130" s="15" t="n"/>
      <c r="CW130" s="15" t="n"/>
      <c r="CX130" s="15" t="n"/>
      <c r="CY130" s="15" t="n"/>
      <c r="CZ130" s="15" t="n"/>
      <c r="DA130" s="15" t="n"/>
      <c r="DB130" s="15" t="n"/>
      <c r="DC130" s="15" t="n"/>
      <c r="DD130" s="15" t="n"/>
      <c r="DE130" s="15" t="n"/>
      <c r="DF130" s="15" t="n"/>
      <c r="DG130" s="15" t="n"/>
      <c r="DH130" s="15" t="n"/>
      <c r="DI130" s="15" t="n"/>
      <c r="DJ130" s="15" t="n"/>
      <c r="DK130" s="15" t="n"/>
      <c r="DL130" s="15" t="n"/>
    </row>
    <row r="131">
      <c r="A131" s="14" t="inlineStr">
        <is>
          <t>39(a)(2)</t>
        </is>
      </c>
      <c r="B131" s="7" t="inlineStr">
        <is>
          <t>Partition - non-agricultural property in other areas</t>
        </is>
      </c>
      <c r="C131" s="15" t="n"/>
      <c r="D131" s="15" t="n"/>
      <c r="E131" s="15" t="n"/>
      <c r="F131" s="15" t="n"/>
      <c r="G131" s="15" t="n"/>
      <c r="H131" s="15" t="n"/>
      <c r="I131" s="15" t="n"/>
      <c r="J131" s="15" t="n"/>
      <c r="K131" s="17" t="inlineStr">
        <is>
          <t>I</t>
        </is>
      </c>
      <c r="L131" s="15" t="n"/>
      <c r="M131" s="15" t="n"/>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c r="AH131" s="15" t="n"/>
      <c r="AI131" s="15" t="n"/>
      <c r="AJ131" s="15" t="n"/>
      <c r="AK131" s="15" t="n"/>
      <c r="AL131" s="15" t="n"/>
      <c r="AM131" s="15" t="n"/>
      <c r="AN131" s="15" t="n"/>
      <c r="AO131" s="15" t="n"/>
      <c r="AP131" s="15" t="n"/>
      <c r="AQ131" s="15" t="n"/>
      <c r="AR131" s="15" t="n"/>
      <c r="AS131" s="15" t="n"/>
      <c r="AT131" s="15" t="n"/>
      <c r="AU131" s="15" t="n"/>
      <c r="AV131" s="15" t="n"/>
      <c r="AW131" s="15" t="n"/>
      <c r="AX131" s="15" t="n"/>
      <c r="AY131" s="15" t="n"/>
      <c r="AZ131" s="15" t="n"/>
      <c r="BA131" s="15" t="n"/>
      <c r="BB131" s="15" t="n"/>
      <c r="BC131" s="15" t="n"/>
      <c r="BD131" s="15" t="n"/>
      <c r="BE131" s="15" t="n"/>
      <c r="BF131" s="15" t="n"/>
      <c r="BG131" s="15" t="n"/>
      <c r="BH131" s="15" t="n"/>
      <c r="BI131" s="15" t="n"/>
      <c r="BJ131" s="15" t="n"/>
      <c r="BK131" s="15" t="n"/>
      <c r="BL131" s="15" t="n"/>
      <c r="BM131" s="15" t="n"/>
      <c r="BN131" s="19" t="inlineStr">
        <is>
          <t>C</t>
        </is>
      </c>
      <c r="BO131" s="17" t="inlineStr">
        <is>
          <t>I</t>
        </is>
      </c>
      <c r="BP131" s="18" t="inlineStr">
        <is>
          <t>E</t>
        </is>
      </c>
      <c r="BQ131" s="15" t="n"/>
      <c r="BR131" s="15" t="n"/>
      <c r="BS131" s="15" t="n"/>
      <c r="BT131" s="15" t="n"/>
      <c r="BU131" s="15" t="n"/>
      <c r="BV131" s="15" t="n"/>
      <c r="BW131" s="15" t="n"/>
      <c r="BX131" s="15" t="n"/>
      <c r="BY131" s="15" t="n"/>
      <c r="BZ131" s="15" t="n"/>
      <c r="CA131" s="15" t="n"/>
      <c r="CB131" s="15" t="n"/>
      <c r="CC131" s="15" t="n"/>
      <c r="CD131" s="15" t="n"/>
      <c r="CE131" s="15" t="n"/>
      <c r="CF131" s="15" t="n"/>
      <c r="CG131" s="15" t="n"/>
      <c r="CH131" s="15" t="n"/>
      <c r="CI131" s="15" t="n"/>
      <c r="CJ131" s="15" t="n"/>
      <c r="CK131" s="15" t="n"/>
      <c r="CL131" s="15" t="n"/>
      <c r="CM131" s="15" t="n"/>
      <c r="CN131" s="15" t="n"/>
      <c r="CO131" s="15" t="n"/>
      <c r="CP131" s="15" t="n"/>
      <c r="CQ131" s="15" t="n"/>
      <c r="CR131" s="15" t="n"/>
      <c r="CS131" s="15" t="n"/>
      <c r="CT131" s="15" t="n"/>
      <c r="CU131" s="15" t="n"/>
      <c r="CV131" s="15" t="n"/>
      <c r="CW131" s="15" t="n"/>
      <c r="CX131" s="15" t="n"/>
      <c r="CY131" s="15" t="n"/>
      <c r="CZ131" s="15" t="n"/>
      <c r="DA131" s="15" t="n"/>
      <c r="DB131" s="15" t="n"/>
      <c r="DC131" s="15" t="n"/>
      <c r="DD131" s="15" t="n"/>
      <c r="DE131" s="15" t="n"/>
      <c r="DF131" s="15" t="n"/>
      <c r="DG131" s="15" t="n"/>
      <c r="DH131" s="15" t="n"/>
      <c r="DI131" s="15" t="n"/>
      <c r="DJ131" s="15" t="n"/>
      <c r="DK131" s="15" t="n"/>
      <c r="DL131" s="15" t="n"/>
    </row>
    <row r="132">
      <c r="A132" s="14" t="inlineStr">
        <is>
          <t>39(b)</t>
        </is>
      </c>
      <c r="B132" s="7" t="inlineStr">
        <is>
          <t>Partition - agricultural land</t>
        </is>
      </c>
      <c r="C132" s="15" t="n"/>
      <c r="D132" s="15" t="n"/>
      <c r="E132" s="15" t="n"/>
      <c r="F132" s="15" t="n"/>
      <c r="G132" s="15" t="n"/>
      <c r="H132" s="15" t="n"/>
      <c r="I132" s="15" t="n"/>
      <c r="J132" s="15" t="n"/>
      <c r="K132" s="17" t="inlineStr">
        <is>
          <t>I</t>
        </is>
      </c>
      <c r="L132" s="15" t="n"/>
      <c r="M132" s="15" t="n"/>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c r="AH132" s="15" t="n"/>
      <c r="AI132" s="15" t="n"/>
      <c r="AJ132" s="15" t="n"/>
      <c r="AK132" s="15" t="n"/>
      <c r="AL132" s="15" t="n"/>
      <c r="AM132" s="15" t="n"/>
      <c r="AN132" s="15" t="n"/>
      <c r="AO132" s="15" t="n"/>
      <c r="AP132" s="15" t="n"/>
      <c r="AQ132" s="15" t="n"/>
      <c r="AR132" s="15" t="n"/>
      <c r="AS132" s="15" t="n"/>
      <c r="AT132" s="15" t="n"/>
      <c r="AU132" s="15" t="n"/>
      <c r="AV132" s="15" t="n"/>
      <c r="AW132" s="15" t="n"/>
      <c r="AX132" s="15" t="n"/>
      <c r="AY132" s="15" t="n"/>
      <c r="AZ132" s="15" t="n"/>
      <c r="BA132" s="15" t="n"/>
      <c r="BB132" s="15" t="n"/>
      <c r="BC132" s="15" t="n"/>
      <c r="BD132" s="15" t="n"/>
      <c r="BE132" s="15" t="n"/>
      <c r="BF132" s="15" t="n"/>
      <c r="BG132" s="15" t="n"/>
      <c r="BH132" s="15" t="n"/>
      <c r="BI132" s="15" t="n"/>
      <c r="BJ132" s="15" t="n"/>
      <c r="BK132" s="15" t="n"/>
      <c r="BL132" s="15" t="n"/>
      <c r="BM132" s="15" t="n"/>
      <c r="BN132" s="19" t="inlineStr">
        <is>
          <t>C</t>
        </is>
      </c>
      <c r="BO132" s="17" t="inlineStr">
        <is>
          <t>I</t>
        </is>
      </c>
      <c r="BP132" s="18" t="inlineStr">
        <is>
          <t>E</t>
        </is>
      </c>
      <c r="BQ132" s="15" t="n"/>
      <c r="BR132" s="15" t="n"/>
      <c r="BS132" s="15" t="n"/>
      <c r="BT132" s="15" t="n"/>
      <c r="BU132" s="15" t="n"/>
      <c r="BV132" s="15" t="n"/>
      <c r="BW132" s="15" t="n"/>
      <c r="BX132" s="15" t="n"/>
      <c r="BY132" s="15" t="n"/>
      <c r="BZ132" s="15" t="n"/>
      <c r="CA132" s="15" t="n"/>
      <c r="CB132" s="15" t="n"/>
      <c r="CC132" s="15" t="n"/>
      <c r="CD132" s="15" t="n"/>
      <c r="CE132" s="15" t="n"/>
      <c r="CF132" s="15" t="n"/>
      <c r="CG132" s="15" t="n"/>
      <c r="CH132" s="15" t="n"/>
      <c r="CI132" s="15" t="n"/>
      <c r="CJ132" s="15" t="n"/>
      <c r="CK132" s="15" t="n"/>
      <c r="CL132" s="15" t="n"/>
      <c r="CM132" s="15" t="n"/>
      <c r="CN132" s="15" t="n"/>
      <c r="CO132" s="15" t="n"/>
      <c r="CP132" s="15" t="n"/>
      <c r="CQ132" s="15" t="n"/>
      <c r="CR132" s="15" t="n"/>
      <c r="CS132" s="15" t="n"/>
      <c r="CT132" s="15" t="n"/>
      <c r="CU132" s="15" t="n"/>
      <c r="CV132" s="15" t="n"/>
      <c r="CW132" s="15" t="n"/>
      <c r="CX132" s="15" t="n"/>
      <c r="CY132" s="15" t="n"/>
      <c r="CZ132" s="15" t="n"/>
      <c r="DA132" s="15" t="n"/>
      <c r="DB132" s="15" t="n"/>
      <c r="DC132" s="15" t="n"/>
      <c r="DD132" s="15" t="n"/>
      <c r="DE132" s="15" t="n"/>
      <c r="DF132" s="15" t="n"/>
      <c r="DG132" s="15" t="n"/>
      <c r="DH132" s="15" t="n"/>
      <c r="DI132" s="15" t="n"/>
      <c r="DJ132" s="15" t="n"/>
      <c r="DK132" s="15" t="n"/>
      <c r="DL132" s="15" t="n"/>
    </row>
    <row r="133">
      <c r="A133" s="14" t="inlineStr">
        <is>
          <t>39(c)</t>
        </is>
      </c>
      <c r="B133" s="7" t="inlineStr">
        <is>
          <t>Partition - movable property / money</t>
        </is>
      </c>
      <c r="C133" s="15" t="n"/>
      <c r="D133" s="15" t="n"/>
      <c r="E133" s="15" t="n"/>
      <c r="F133" s="15" t="n"/>
      <c r="G133" s="15" t="n"/>
      <c r="H133" s="15" t="n"/>
      <c r="I133" s="15" t="n"/>
      <c r="J133" s="15" t="n"/>
      <c r="K133" s="17" t="inlineStr">
        <is>
          <t>I</t>
        </is>
      </c>
      <c r="L133" s="15" t="n"/>
      <c r="M133" s="15" t="n"/>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c r="AH133" s="15" t="n"/>
      <c r="AI133" s="15" t="n"/>
      <c r="AJ133" s="15" t="n"/>
      <c r="AK133" s="15" t="n"/>
      <c r="AL133" s="15" t="n"/>
      <c r="AM133" s="15" t="n"/>
      <c r="AN133" s="15" t="n"/>
      <c r="AO133" s="15" t="n"/>
      <c r="AP133" s="15" t="n"/>
      <c r="AQ133" s="15" t="n"/>
      <c r="AR133" s="15" t="n"/>
      <c r="AS133" s="15" t="n"/>
      <c r="AT133" s="15" t="n"/>
      <c r="AU133" s="15" t="n"/>
      <c r="AV133" s="15" t="n"/>
      <c r="AW133" s="15" t="n"/>
      <c r="AX133" s="15" t="n"/>
      <c r="AY133" s="15" t="n"/>
      <c r="AZ133" s="15" t="n"/>
      <c r="BA133" s="15" t="n"/>
      <c r="BB133" s="15" t="n"/>
      <c r="BC133" s="15" t="n"/>
      <c r="BD133" s="15" t="n"/>
      <c r="BE133" s="15" t="n"/>
      <c r="BF133" s="15" t="n"/>
      <c r="BG133" s="15" t="n"/>
      <c r="BH133" s="15" t="n"/>
      <c r="BI133" s="15" t="n"/>
      <c r="BJ133" s="15" t="n"/>
      <c r="BK133" s="15" t="n"/>
      <c r="BL133" s="15" t="n"/>
      <c r="BM133" s="15" t="n"/>
      <c r="BN133" s="19" t="inlineStr">
        <is>
          <t>C</t>
        </is>
      </c>
      <c r="BO133" s="17" t="inlineStr">
        <is>
          <t>I</t>
        </is>
      </c>
      <c r="BP133" s="18" t="inlineStr">
        <is>
          <t>E</t>
        </is>
      </c>
      <c r="BQ133" s="15" t="n"/>
      <c r="BR133" s="15" t="n"/>
      <c r="BS133" s="15" t="n"/>
      <c r="BT133" s="15" t="n"/>
      <c r="BU133" s="15" t="n"/>
      <c r="BV133" s="15" t="n"/>
      <c r="BW133" s="15" t="n"/>
      <c r="BX133" s="15" t="n"/>
      <c r="BY133" s="15" t="n"/>
      <c r="BZ133" s="15" t="n"/>
      <c r="CA133" s="15" t="n"/>
      <c r="CB133" s="15" t="n"/>
      <c r="CC133" s="15" t="n"/>
      <c r="CD133" s="15" t="n"/>
      <c r="CE133" s="15" t="n"/>
      <c r="CF133" s="15" t="n"/>
      <c r="CG133" s="15" t="n"/>
      <c r="CH133" s="15" t="n"/>
      <c r="CI133" s="15" t="n"/>
      <c r="CJ133" s="15" t="n"/>
      <c r="CK133" s="15" t="n"/>
      <c r="CL133" s="15" t="n"/>
      <c r="CM133" s="15" t="n"/>
      <c r="CN133" s="15" t="n"/>
      <c r="CO133" s="15" t="n"/>
      <c r="CP133" s="15" t="n"/>
      <c r="CQ133" s="15" t="n"/>
      <c r="CR133" s="15" t="n"/>
      <c r="CS133" s="15" t="n"/>
      <c r="CT133" s="15" t="n"/>
      <c r="CU133" s="15" t="n"/>
      <c r="CV133" s="15" t="n"/>
      <c r="CW133" s="15" t="n"/>
      <c r="CX133" s="15" t="n"/>
      <c r="CY133" s="15" t="n"/>
      <c r="CZ133" s="15" t="n"/>
      <c r="DA133" s="15" t="n"/>
      <c r="DB133" s="15" t="n"/>
      <c r="DC133" s="15" t="n"/>
      <c r="DD133" s="15" t="n"/>
      <c r="DE133" s="15" t="n"/>
      <c r="DF133" s="15" t="n"/>
      <c r="DG133" s="15" t="n"/>
      <c r="DH133" s="15" t="n"/>
      <c r="DI133" s="15" t="n"/>
      <c r="DJ133" s="15" t="n"/>
      <c r="DK133" s="15" t="n"/>
      <c r="DL133" s="15" t="n"/>
    </row>
    <row r="134">
      <c r="A134" s="14" t="inlineStr">
        <is>
          <t>39(d)</t>
        </is>
      </c>
      <c r="B134" s="7" t="inlineStr">
        <is>
          <t>Partition - combination of categories</t>
        </is>
      </c>
      <c r="C134" s="15" t="n"/>
      <c r="D134" s="15" t="n"/>
      <c r="E134" s="15" t="n"/>
      <c r="F134" s="15" t="n"/>
      <c r="G134" s="15" t="n"/>
      <c r="H134" s="15" t="n"/>
      <c r="I134" s="15" t="n"/>
      <c r="J134" s="15" t="n"/>
      <c r="K134" s="17" t="inlineStr">
        <is>
          <t>I</t>
        </is>
      </c>
      <c r="L134" s="15" t="n"/>
      <c r="M134" s="15" t="n"/>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c r="AH134" s="15" t="n"/>
      <c r="AI134" s="15" t="n"/>
      <c r="AJ134" s="15" t="n"/>
      <c r="AK134" s="15" t="n"/>
      <c r="AL134" s="15" t="n"/>
      <c r="AM134" s="15" t="n"/>
      <c r="AN134" s="15" t="n"/>
      <c r="AO134" s="15" t="n"/>
      <c r="AP134" s="15" t="n"/>
      <c r="AQ134" s="15" t="n"/>
      <c r="AR134" s="15" t="n"/>
      <c r="AS134" s="15" t="n"/>
      <c r="AT134" s="15" t="n"/>
      <c r="AU134" s="15" t="n"/>
      <c r="AV134" s="15" t="n"/>
      <c r="AW134" s="15" t="n"/>
      <c r="AX134" s="15" t="n"/>
      <c r="AY134" s="15" t="n"/>
      <c r="AZ134" s="15" t="n"/>
      <c r="BA134" s="15" t="n"/>
      <c r="BB134" s="15" t="n"/>
      <c r="BC134" s="15" t="n"/>
      <c r="BD134" s="15" t="n"/>
      <c r="BE134" s="15" t="n"/>
      <c r="BF134" s="15" t="n"/>
      <c r="BG134" s="15" t="n"/>
      <c r="BH134" s="15" t="n"/>
      <c r="BI134" s="15" t="n"/>
      <c r="BJ134" s="15" t="n"/>
      <c r="BK134" s="15" t="n"/>
      <c r="BL134" s="15" t="n"/>
      <c r="BM134" s="15" t="n"/>
      <c r="BN134" s="19" t="inlineStr">
        <is>
          <t>C</t>
        </is>
      </c>
      <c r="BO134" s="17" t="inlineStr">
        <is>
          <t>I</t>
        </is>
      </c>
      <c r="BP134" s="18" t="inlineStr">
        <is>
          <t>E</t>
        </is>
      </c>
      <c r="BQ134" s="15" t="n"/>
      <c r="BR134" s="15" t="n"/>
      <c r="BS134" s="15" t="n"/>
      <c r="BT134" s="15" t="n"/>
      <c r="BU134" s="15" t="n"/>
      <c r="BV134" s="15" t="n"/>
      <c r="BW134" s="15" t="n"/>
      <c r="BX134" s="15" t="n"/>
      <c r="BY134" s="15" t="n"/>
      <c r="BZ134" s="15" t="n"/>
      <c r="CA134" s="15" t="n"/>
      <c r="CB134" s="15" t="n"/>
      <c r="CC134" s="15" t="n"/>
      <c r="CD134" s="15" t="n"/>
      <c r="CE134" s="15" t="n"/>
      <c r="CF134" s="15" t="n"/>
      <c r="CG134" s="15" t="n"/>
      <c r="CH134" s="15" t="n"/>
      <c r="CI134" s="15" t="n"/>
      <c r="CJ134" s="15" t="n"/>
      <c r="CK134" s="15" t="n"/>
      <c r="CL134" s="15" t="n"/>
      <c r="CM134" s="15" t="n"/>
      <c r="CN134" s="15" t="n"/>
      <c r="CO134" s="15" t="n"/>
      <c r="CP134" s="15" t="n"/>
      <c r="CQ134" s="15" t="n"/>
      <c r="CR134" s="15" t="n"/>
      <c r="CS134" s="15" t="n"/>
      <c r="CT134" s="15" t="n"/>
      <c r="CU134" s="15" t="n"/>
      <c r="CV134" s="15" t="n"/>
      <c r="CW134" s="15" t="n"/>
      <c r="CX134" s="15" t="n"/>
      <c r="CY134" s="15" t="n"/>
      <c r="CZ134" s="15" t="n"/>
      <c r="DA134" s="15" t="n"/>
      <c r="DB134" s="15" t="n"/>
      <c r="DC134" s="15" t="n"/>
      <c r="DD134" s="15" t="n"/>
      <c r="DE134" s="15" t="n"/>
      <c r="DF134" s="15" t="n"/>
      <c r="DG134" s="15" t="n"/>
      <c r="DH134" s="15" t="n"/>
      <c r="DI134" s="15" t="n"/>
      <c r="DJ134" s="15" t="n"/>
      <c r="DK134" s="15" t="n"/>
      <c r="DL134" s="15" t="n"/>
    </row>
    <row r="135">
      <c r="A135" s="14" t="inlineStr">
        <is>
          <t>40-A</t>
        </is>
      </c>
      <c r="B135" s="7" t="inlineStr">
        <is>
          <t>Partnership - instrument of constitution</t>
        </is>
      </c>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c r="AH135" s="15" t="n"/>
      <c r="AI135" s="15" t="n"/>
      <c r="AJ135" s="15" t="n"/>
      <c r="AK135" s="15" t="n"/>
      <c r="AL135" s="15" t="n"/>
      <c r="AM135" s="15" t="n"/>
      <c r="AN135" s="15" t="n"/>
      <c r="AO135" s="15" t="n"/>
      <c r="AP135" s="15" t="n"/>
      <c r="AQ135" s="15" t="n"/>
      <c r="AR135" s="15" t="n"/>
      <c r="AS135" s="15" t="n"/>
      <c r="AT135" s="15" t="n"/>
      <c r="AU135" s="15" t="n"/>
      <c r="AV135" s="15" t="n"/>
      <c r="AW135" s="15" t="n"/>
      <c r="AX135" s="15" t="n"/>
      <c r="AY135" s="15" t="n"/>
      <c r="AZ135" s="15" t="n"/>
      <c r="BA135" s="15" t="n"/>
      <c r="BB135" s="15" t="n"/>
      <c r="BC135" s="15" t="n"/>
      <c r="BD135" s="15" t="n"/>
      <c r="BE135" s="15" t="n"/>
      <c r="BF135" s="15" t="n"/>
      <c r="BG135" s="15" t="n"/>
      <c r="BH135" s="15" t="n"/>
      <c r="BI135" s="15" t="n"/>
      <c r="BJ135" s="15" t="n"/>
      <c r="BK135" s="15" t="n"/>
      <c r="BL135" s="15" t="n"/>
      <c r="BM135" s="15" t="n"/>
      <c r="BN135" s="15" t="n"/>
      <c r="BO135" s="15" t="n"/>
      <c r="BP135" s="15" t="n"/>
      <c r="BQ135" s="17" t="inlineStr">
        <is>
          <t>I</t>
        </is>
      </c>
      <c r="BR135" s="15" t="n"/>
      <c r="BS135" s="15" t="n"/>
      <c r="BT135" s="15" t="n"/>
      <c r="BU135" s="15" t="n"/>
      <c r="BV135" s="15" t="n"/>
      <c r="BW135" s="15" t="n"/>
      <c r="BX135" s="15" t="n"/>
      <c r="BY135" s="15" t="n"/>
      <c r="BZ135" s="15" t="n"/>
      <c r="CA135" s="15" t="n"/>
      <c r="CB135" s="15" t="n"/>
      <c r="CC135" s="15" t="n"/>
      <c r="CD135" s="15" t="n"/>
      <c r="CE135" s="15" t="n"/>
      <c r="CF135" s="15" t="n"/>
      <c r="CG135" s="15" t="n"/>
      <c r="CH135" s="15" t="n"/>
      <c r="CI135" s="15" t="n"/>
      <c r="CJ135" s="15" t="n"/>
      <c r="CK135" s="15" t="n"/>
      <c r="CL135" s="15" t="n"/>
      <c r="CM135" s="15" t="n"/>
      <c r="CN135" s="15" t="n"/>
      <c r="CO135" s="15" t="n"/>
      <c r="CP135" s="15" t="n"/>
      <c r="CQ135" s="15" t="n"/>
      <c r="CR135" s="15" t="n"/>
      <c r="CS135" s="15" t="n"/>
      <c r="CT135" s="15" t="n"/>
      <c r="CU135" s="15" t="n"/>
      <c r="CV135" s="15" t="n"/>
      <c r="CW135" s="15" t="n"/>
      <c r="CX135" s="15" t="n"/>
      <c r="CY135" s="15" t="n"/>
      <c r="CZ135" s="15" t="n"/>
      <c r="DA135" s="15" t="n"/>
      <c r="DB135" s="15" t="n"/>
      <c r="DC135" s="15" t="n"/>
      <c r="DD135" s="15" t="n"/>
      <c r="DE135" s="15" t="n"/>
      <c r="DF135" s="15" t="n"/>
      <c r="DG135" s="15" t="n"/>
      <c r="DH135" s="15" t="n"/>
      <c r="DI135" s="15" t="n"/>
      <c r="DJ135" s="15" t="n"/>
      <c r="DK135" s="15" t="n"/>
      <c r="DL135" s="15" t="n"/>
    </row>
    <row r="136">
      <c r="A136" s="14" t="inlineStr">
        <is>
          <t>40-B(a)</t>
        </is>
      </c>
      <c r="B136" s="7" t="inlineStr">
        <is>
          <t>Partnership reconstitution - outgoing partner's immovable property remains with firm</t>
        </is>
      </c>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c r="AH136" s="15" t="n"/>
      <c r="AI136" s="15" t="n"/>
      <c r="AJ136" s="15" t="n"/>
      <c r="AK136" s="15" t="n"/>
      <c r="AL136" s="15" t="n"/>
      <c r="AM136" s="15" t="n"/>
      <c r="AN136" s="15" t="n"/>
      <c r="AO136" s="15" t="n"/>
      <c r="AP136" s="15" t="n"/>
      <c r="AQ136" s="15" t="n"/>
      <c r="AR136" s="15" t="n"/>
      <c r="AS136" s="15" t="n"/>
      <c r="AT136" s="15" t="n"/>
      <c r="AU136" s="15" t="n"/>
      <c r="AV136" s="15" t="n"/>
      <c r="AW136" s="15" t="n"/>
      <c r="AX136" s="15" t="n"/>
      <c r="AY136" s="15" t="n"/>
      <c r="AZ136" s="15" t="n"/>
      <c r="BA136" s="15" t="n"/>
      <c r="BB136" s="15" t="n"/>
      <c r="BC136" s="15" t="n"/>
      <c r="BD136" s="15" t="n"/>
      <c r="BE136" s="15" t="n"/>
      <c r="BF136" s="15" t="n"/>
      <c r="BG136" s="15" t="n"/>
      <c r="BH136" s="15" t="n"/>
      <c r="BI136" s="15" t="n"/>
      <c r="BJ136" s="15" t="n"/>
      <c r="BK136" s="15" t="n"/>
      <c r="BL136" s="15" t="n"/>
      <c r="BM136" s="15" t="n"/>
      <c r="BN136" s="15" t="n"/>
      <c r="BO136" s="15" t="n"/>
      <c r="BP136" s="15" t="n"/>
      <c r="BQ136" s="17" t="inlineStr">
        <is>
          <t>I</t>
        </is>
      </c>
      <c r="BR136" s="16" t="inlineStr">
        <is>
          <t>I+C</t>
        </is>
      </c>
      <c r="BS136" s="15" t="n"/>
      <c r="BT136" s="15" t="n"/>
      <c r="BU136" s="15" t="n"/>
      <c r="BV136" s="15" t="n"/>
      <c r="BW136" s="15" t="n"/>
      <c r="BX136" s="15" t="n"/>
      <c r="BY136" s="15" t="n"/>
      <c r="BZ136" s="15" t="n"/>
      <c r="CA136" s="15" t="n"/>
      <c r="CB136" s="15" t="n"/>
      <c r="CC136" s="15" t="n"/>
      <c r="CD136" s="15" t="n"/>
      <c r="CE136" s="15" t="n"/>
      <c r="CF136" s="15" t="n"/>
      <c r="CG136" s="15" t="n"/>
      <c r="CH136" s="15" t="n"/>
      <c r="CI136" s="15" t="n"/>
      <c r="CJ136" s="15" t="n"/>
      <c r="CK136" s="15" t="n"/>
      <c r="CL136" s="15" t="n"/>
      <c r="CM136" s="15" t="n"/>
      <c r="CN136" s="15" t="n"/>
      <c r="CO136" s="15" t="n"/>
      <c r="CP136" s="15" t="n"/>
      <c r="CQ136" s="15" t="n"/>
      <c r="CR136" s="15" t="n"/>
      <c r="CS136" s="15" t="n"/>
      <c r="CT136" s="15" t="n"/>
      <c r="CU136" s="15" t="n"/>
      <c r="CV136" s="15" t="n"/>
      <c r="CW136" s="15" t="n"/>
      <c r="CX136" s="15" t="n"/>
      <c r="CY136" s="15" t="n"/>
      <c r="CZ136" s="15" t="n"/>
      <c r="DA136" s="15" t="n"/>
      <c r="DB136" s="15" t="n"/>
      <c r="DC136" s="15" t="n"/>
      <c r="DD136" s="15" t="n"/>
      <c r="DE136" s="15" t="n"/>
      <c r="DF136" s="15" t="n"/>
      <c r="DG136" s="15" t="n"/>
      <c r="DH136" s="15" t="n"/>
      <c r="DI136" s="15" t="n"/>
      <c r="DJ136" s="15" t="n"/>
      <c r="DK136" s="15" t="n"/>
      <c r="DL136" s="15" t="n"/>
    </row>
    <row r="137">
      <c r="A137" s="14" t="inlineStr">
        <is>
          <t>40-B(b)</t>
        </is>
      </c>
      <c r="B137" s="7" t="inlineStr">
        <is>
          <t>Partnership reconstitution - other</t>
        </is>
      </c>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c r="AH137" s="15" t="n"/>
      <c r="AI137" s="15" t="n"/>
      <c r="AJ137" s="15" t="n"/>
      <c r="AK137" s="15" t="n"/>
      <c r="AL137" s="15" t="n"/>
      <c r="AM137" s="15" t="n"/>
      <c r="AN137" s="15" t="n"/>
      <c r="AO137" s="15" t="n"/>
      <c r="AP137" s="15" t="n"/>
      <c r="AQ137" s="15" t="n"/>
      <c r="AR137" s="15" t="n"/>
      <c r="AS137" s="15" t="n"/>
      <c r="AT137" s="15" t="n"/>
      <c r="AU137" s="15" t="n"/>
      <c r="AV137" s="15" t="n"/>
      <c r="AW137" s="15" t="n"/>
      <c r="AX137" s="15" t="n"/>
      <c r="AY137" s="15" t="n"/>
      <c r="AZ137" s="15" t="n"/>
      <c r="BA137" s="15" t="n"/>
      <c r="BB137" s="15" t="n"/>
      <c r="BC137" s="15" t="n"/>
      <c r="BD137" s="15" t="n"/>
      <c r="BE137" s="15" t="n"/>
      <c r="BF137" s="15" t="n"/>
      <c r="BG137" s="15" t="n"/>
      <c r="BH137" s="15" t="n"/>
      <c r="BI137" s="15" t="n"/>
      <c r="BJ137" s="15" t="n"/>
      <c r="BK137" s="15" t="n"/>
      <c r="BL137" s="15" t="n"/>
      <c r="BM137" s="15" t="n"/>
      <c r="BN137" s="15" t="n"/>
      <c r="BO137" s="15" t="n"/>
      <c r="BP137" s="15" t="n"/>
      <c r="BQ137" s="17" t="inlineStr">
        <is>
          <t>I</t>
        </is>
      </c>
      <c r="BR137" s="17" t="inlineStr">
        <is>
          <t>I</t>
        </is>
      </c>
      <c r="BS137" s="15" t="n"/>
      <c r="BT137" s="15" t="n"/>
      <c r="BU137" s="15" t="n"/>
      <c r="BV137" s="15" t="n"/>
      <c r="BW137" s="15" t="n"/>
      <c r="BX137" s="15" t="n"/>
      <c r="BY137" s="15" t="n"/>
      <c r="BZ137" s="15" t="n"/>
      <c r="CA137" s="15" t="n"/>
      <c r="CB137" s="15" t="n"/>
      <c r="CC137" s="15" t="n"/>
      <c r="CD137" s="15" t="n"/>
      <c r="CE137" s="15" t="n"/>
      <c r="CF137" s="15" t="n"/>
      <c r="CG137" s="15" t="n"/>
      <c r="CH137" s="15" t="n"/>
      <c r="CI137" s="15" t="n"/>
      <c r="CJ137" s="15" t="n"/>
      <c r="CK137" s="15" t="n"/>
      <c r="CL137" s="15" t="n"/>
      <c r="CM137" s="15" t="n"/>
      <c r="CN137" s="15" t="n"/>
      <c r="CO137" s="15" t="n"/>
      <c r="CP137" s="15" t="n"/>
      <c r="CQ137" s="15" t="n"/>
      <c r="CR137" s="15" t="n"/>
      <c r="CS137" s="15" t="n"/>
      <c r="CT137" s="15" t="n"/>
      <c r="CU137" s="15" t="n"/>
      <c r="CV137" s="15" t="n"/>
      <c r="CW137" s="15" t="n"/>
      <c r="CX137" s="15" t="n"/>
      <c r="CY137" s="15" t="n"/>
      <c r="CZ137" s="15" t="n"/>
      <c r="DA137" s="15" t="n"/>
      <c r="DB137" s="15" t="n"/>
      <c r="DC137" s="15" t="n"/>
      <c r="DD137" s="15" t="n"/>
      <c r="DE137" s="15" t="n"/>
      <c r="DF137" s="15" t="n"/>
      <c r="DG137" s="15" t="n"/>
      <c r="DH137" s="15" t="n"/>
      <c r="DI137" s="15" t="n"/>
      <c r="DJ137" s="15" t="n"/>
      <c r="DK137" s="15" t="n"/>
      <c r="DL137" s="15" t="n"/>
    </row>
    <row r="138">
      <c r="A138" s="14" t="inlineStr">
        <is>
          <t>40-C(a)</t>
        </is>
      </c>
      <c r="B138" s="7" t="inlineStr">
        <is>
          <t>Partnership dissolution - partner's property allotted to another</t>
        </is>
      </c>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c r="AH138" s="15" t="n"/>
      <c r="AI138" s="15" t="n"/>
      <c r="AJ138" s="15" t="n"/>
      <c r="AK138" s="15" t="n"/>
      <c r="AL138" s="15" t="n"/>
      <c r="AM138" s="15" t="n"/>
      <c r="AN138" s="15" t="n"/>
      <c r="AO138" s="15" t="n"/>
      <c r="AP138" s="15" t="n"/>
      <c r="AQ138" s="15" t="n"/>
      <c r="AR138" s="15" t="n"/>
      <c r="AS138" s="15" t="n"/>
      <c r="AT138" s="15" t="n"/>
      <c r="AU138" s="15" t="n"/>
      <c r="AV138" s="15" t="n"/>
      <c r="AW138" s="15" t="n"/>
      <c r="AX138" s="15" t="n"/>
      <c r="AY138" s="15" t="n"/>
      <c r="AZ138" s="15" t="n"/>
      <c r="BA138" s="15" t="n"/>
      <c r="BB138" s="15" t="n"/>
      <c r="BC138" s="15" t="n"/>
      <c r="BD138" s="15" t="n"/>
      <c r="BE138" s="15" t="n"/>
      <c r="BF138" s="15" t="n"/>
      <c r="BG138" s="15" t="n"/>
      <c r="BH138" s="15" t="n"/>
      <c r="BI138" s="15" t="n"/>
      <c r="BJ138" s="15" t="n"/>
      <c r="BK138" s="15" t="n"/>
      <c r="BL138" s="15" t="n"/>
      <c r="BM138" s="15" t="n"/>
      <c r="BN138" s="15" t="n"/>
      <c r="BO138" s="15" t="n"/>
      <c r="BP138" s="15" t="n"/>
      <c r="BQ138" s="17" t="inlineStr">
        <is>
          <t>I</t>
        </is>
      </c>
      <c r="BR138" s="15" t="n"/>
      <c r="BS138" s="16" t="inlineStr">
        <is>
          <t>I+C</t>
        </is>
      </c>
      <c r="BT138" s="15" t="n"/>
      <c r="BU138" s="15" t="n"/>
      <c r="BV138" s="15" t="n"/>
      <c r="BW138" s="15" t="n"/>
      <c r="BX138" s="15" t="n"/>
      <c r="BY138" s="15" t="n"/>
      <c r="BZ138" s="15" t="n"/>
      <c r="CA138" s="15" t="n"/>
      <c r="CB138" s="15" t="n"/>
      <c r="CC138" s="15" t="n"/>
      <c r="CD138" s="15" t="n"/>
      <c r="CE138" s="15" t="n"/>
      <c r="CF138" s="15" t="n"/>
      <c r="CG138" s="15" t="n"/>
      <c r="CH138" s="15" t="n"/>
      <c r="CI138" s="15" t="n"/>
      <c r="CJ138" s="15" t="n"/>
      <c r="CK138" s="15" t="n"/>
      <c r="CL138" s="15" t="n"/>
      <c r="CM138" s="15" t="n"/>
      <c r="CN138" s="15" t="n"/>
      <c r="CO138" s="15" t="n"/>
      <c r="CP138" s="15" t="n"/>
      <c r="CQ138" s="15" t="n"/>
      <c r="CR138" s="15" t="n"/>
      <c r="CS138" s="15" t="n"/>
      <c r="CT138" s="15" t="n"/>
      <c r="CU138" s="15" t="n"/>
      <c r="CV138" s="15" t="n"/>
      <c r="CW138" s="15" t="n"/>
      <c r="CX138" s="15" t="n"/>
      <c r="CY138" s="15" t="n"/>
      <c r="CZ138" s="15" t="n"/>
      <c r="DA138" s="15" t="n"/>
      <c r="DB138" s="15" t="n"/>
      <c r="DC138" s="15" t="n"/>
      <c r="DD138" s="15" t="n"/>
      <c r="DE138" s="15" t="n"/>
      <c r="DF138" s="15" t="n"/>
      <c r="DG138" s="15" t="n"/>
      <c r="DH138" s="15" t="n"/>
      <c r="DI138" s="15" t="n"/>
      <c r="DJ138" s="15" t="n"/>
      <c r="DK138" s="15" t="n"/>
      <c r="DL138" s="15" t="n"/>
    </row>
    <row r="139">
      <c r="A139" s="14" t="inlineStr">
        <is>
          <t>40-C(b)</t>
        </is>
      </c>
      <c r="B139" s="7" t="inlineStr">
        <is>
          <t>Partnership dissolution - other</t>
        </is>
      </c>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c r="AH139" s="15" t="n"/>
      <c r="AI139" s="15" t="n"/>
      <c r="AJ139" s="15" t="n"/>
      <c r="AK139" s="15" t="n"/>
      <c r="AL139" s="15" t="n"/>
      <c r="AM139" s="15" t="n"/>
      <c r="AN139" s="15" t="n"/>
      <c r="AO139" s="15" t="n"/>
      <c r="AP139" s="15" t="n"/>
      <c r="AQ139" s="15" t="n"/>
      <c r="AR139" s="15" t="n"/>
      <c r="AS139" s="15" t="n"/>
      <c r="AT139" s="15" t="n"/>
      <c r="AU139" s="15" t="n"/>
      <c r="AV139" s="15" t="n"/>
      <c r="AW139" s="15" t="n"/>
      <c r="AX139" s="15" t="n"/>
      <c r="AY139" s="15" t="n"/>
      <c r="AZ139" s="15" t="n"/>
      <c r="BA139" s="15" t="n"/>
      <c r="BB139" s="15" t="n"/>
      <c r="BC139" s="15" t="n"/>
      <c r="BD139" s="15" t="n"/>
      <c r="BE139" s="15" t="n"/>
      <c r="BF139" s="15" t="n"/>
      <c r="BG139" s="15" t="n"/>
      <c r="BH139" s="15" t="n"/>
      <c r="BI139" s="15" t="n"/>
      <c r="BJ139" s="15" t="n"/>
      <c r="BK139" s="15" t="n"/>
      <c r="BL139" s="15" t="n"/>
      <c r="BM139" s="15" t="n"/>
      <c r="BN139" s="15" t="n"/>
      <c r="BO139" s="15" t="n"/>
      <c r="BP139" s="15" t="n"/>
      <c r="BQ139" s="17" t="inlineStr">
        <is>
          <t>I</t>
        </is>
      </c>
      <c r="BR139" s="15" t="n"/>
      <c r="BS139" s="17" t="inlineStr">
        <is>
          <t>I</t>
        </is>
      </c>
      <c r="BT139" s="15" t="n"/>
      <c r="BU139" s="15" t="n"/>
      <c r="BV139" s="15" t="n"/>
      <c r="BW139" s="15" t="n"/>
      <c r="BX139" s="15" t="n"/>
      <c r="BY139" s="15" t="n"/>
      <c r="BZ139" s="15" t="n"/>
      <c r="CA139" s="15" t="n"/>
      <c r="CB139" s="15" t="n"/>
      <c r="CC139" s="15" t="n"/>
      <c r="CD139" s="15" t="n"/>
      <c r="CE139" s="15" t="n"/>
      <c r="CF139" s="15" t="n"/>
      <c r="CG139" s="15" t="n"/>
      <c r="CH139" s="15" t="n"/>
      <c r="CI139" s="15" t="n"/>
      <c r="CJ139" s="15" t="n"/>
      <c r="CK139" s="15" t="n"/>
      <c r="CL139" s="15" t="n"/>
      <c r="CM139" s="15" t="n"/>
      <c r="CN139" s="15" t="n"/>
      <c r="CO139" s="15" t="n"/>
      <c r="CP139" s="15" t="n"/>
      <c r="CQ139" s="15" t="n"/>
      <c r="CR139" s="15" t="n"/>
      <c r="CS139" s="15" t="n"/>
      <c r="CT139" s="15" t="n"/>
      <c r="CU139" s="15" t="n"/>
      <c r="CV139" s="15" t="n"/>
      <c r="CW139" s="15" t="n"/>
      <c r="CX139" s="15" t="n"/>
      <c r="CY139" s="15" t="n"/>
      <c r="CZ139" s="15" t="n"/>
      <c r="DA139" s="15" t="n"/>
      <c r="DB139" s="15" t="n"/>
      <c r="DC139" s="15" t="n"/>
      <c r="DD139" s="15" t="n"/>
      <c r="DE139" s="15" t="n"/>
      <c r="DF139" s="15" t="n"/>
      <c r="DG139" s="15" t="n"/>
      <c r="DH139" s="15" t="n"/>
      <c r="DI139" s="15" t="n"/>
      <c r="DJ139" s="15" t="n"/>
      <c r="DK139" s="15" t="n"/>
      <c r="DL139" s="15" t="n"/>
    </row>
    <row r="140">
      <c r="A140" s="14" t="inlineStr">
        <is>
          <t>40A-A(a)</t>
        </is>
      </c>
      <c r="B140" s="7" t="inlineStr">
        <is>
          <t>LLP constitution / conversion - capital up to Rs.10 lakh</t>
        </is>
      </c>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c r="AH140" s="15" t="n"/>
      <c r="AI140" s="15" t="n"/>
      <c r="AJ140" s="15" t="n"/>
      <c r="AK140" s="15" t="n"/>
      <c r="AL140" s="15" t="n"/>
      <c r="AM140" s="15" t="n"/>
      <c r="AN140" s="15" t="n"/>
      <c r="AO140" s="15" t="n"/>
      <c r="AP140" s="15" t="n"/>
      <c r="AQ140" s="15" t="n"/>
      <c r="AR140" s="15" t="n"/>
      <c r="AS140" s="15" t="n"/>
      <c r="AT140" s="15" t="n"/>
      <c r="AU140" s="15" t="n"/>
      <c r="AV140" s="15" t="n"/>
      <c r="AW140" s="15" t="n"/>
      <c r="AX140" s="15" t="n"/>
      <c r="AY140" s="15" t="n"/>
      <c r="AZ140" s="15" t="n"/>
      <c r="BA140" s="15" t="n"/>
      <c r="BB140" s="15" t="n"/>
      <c r="BC140" s="15" t="n"/>
      <c r="BD140" s="15" t="n"/>
      <c r="BE140" s="15" t="n"/>
      <c r="BF140" s="15" t="n"/>
      <c r="BG140" s="15" t="n"/>
      <c r="BH140" s="15" t="n"/>
      <c r="BI140" s="15" t="n"/>
      <c r="BJ140" s="15" t="n"/>
      <c r="BK140" s="15" t="n"/>
      <c r="BL140" s="15" t="n"/>
      <c r="BM140" s="15" t="n"/>
      <c r="BN140" s="15" t="n"/>
      <c r="BO140" s="15" t="n"/>
      <c r="BP140" s="15" t="n"/>
      <c r="BQ140" s="15" t="n"/>
      <c r="BR140" s="15" t="n"/>
      <c r="BS140" s="15" t="n"/>
      <c r="BT140" s="17" t="inlineStr">
        <is>
          <t>I</t>
        </is>
      </c>
      <c r="BU140" s="16" t="inlineStr">
        <is>
          <t>I+C</t>
        </is>
      </c>
      <c r="BV140" s="15" t="n"/>
      <c r="BW140" s="15" t="n"/>
      <c r="BX140" s="15" t="n"/>
      <c r="BY140" s="15" t="n"/>
      <c r="BZ140" s="15" t="n"/>
      <c r="CA140" s="15" t="n"/>
      <c r="CB140" s="15" t="n"/>
      <c r="CC140" s="15" t="n"/>
      <c r="CD140" s="15" t="n"/>
      <c r="CE140" s="15" t="n"/>
      <c r="CF140" s="15" t="n"/>
      <c r="CG140" s="15" t="n"/>
      <c r="CH140" s="15" t="n"/>
      <c r="CI140" s="15" t="n"/>
      <c r="CJ140" s="15" t="n"/>
      <c r="CK140" s="15" t="n"/>
      <c r="CL140" s="15" t="n"/>
      <c r="CM140" s="15" t="n"/>
      <c r="CN140" s="15" t="n"/>
      <c r="CO140" s="15" t="n"/>
      <c r="CP140" s="15" t="n"/>
      <c r="CQ140" s="15" t="n"/>
      <c r="CR140" s="15" t="n"/>
      <c r="CS140" s="15" t="n"/>
      <c r="CT140" s="15" t="n"/>
      <c r="CU140" s="15" t="n"/>
      <c r="CV140" s="15" t="n"/>
      <c r="CW140" s="15" t="n"/>
      <c r="CX140" s="15" t="n"/>
      <c r="CY140" s="15" t="n"/>
      <c r="CZ140" s="15" t="n"/>
      <c r="DA140" s="15" t="n"/>
      <c r="DB140" s="15" t="n"/>
      <c r="DC140" s="15" t="n"/>
      <c r="DD140" s="15" t="n"/>
      <c r="DE140" s="15" t="n"/>
      <c r="DF140" s="15" t="n"/>
      <c r="DG140" s="15" t="n"/>
      <c r="DH140" s="15" t="n"/>
      <c r="DI140" s="15" t="n"/>
      <c r="DJ140" s="15" t="n"/>
      <c r="DK140" s="15" t="n"/>
      <c r="DL140" s="15" t="n"/>
    </row>
    <row r="141">
      <c r="A141" s="14" t="inlineStr">
        <is>
          <t>40A-A(b)</t>
        </is>
      </c>
      <c r="B141" s="7" t="inlineStr">
        <is>
          <t>LLP constitution / conversion - capital above Rs.10 lakh</t>
        </is>
      </c>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c r="AH141" s="15" t="n"/>
      <c r="AI141" s="15" t="n"/>
      <c r="AJ141" s="15" t="n"/>
      <c r="AK141" s="15" t="n"/>
      <c r="AL141" s="15" t="n"/>
      <c r="AM141" s="15" t="n"/>
      <c r="AN141" s="15" t="n"/>
      <c r="AO141" s="15" t="n"/>
      <c r="AP141" s="15" t="n"/>
      <c r="AQ141" s="15" t="n"/>
      <c r="AR141" s="15" t="n"/>
      <c r="AS141" s="15" t="n"/>
      <c r="AT141" s="15" t="n"/>
      <c r="AU141" s="15" t="n"/>
      <c r="AV141" s="15" t="n"/>
      <c r="AW141" s="15" t="n"/>
      <c r="AX141" s="15" t="n"/>
      <c r="AY141" s="15" t="n"/>
      <c r="AZ141" s="15" t="n"/>
      <c r="BA141" s="15" t="n"/>
      <c r="BB141" s="15" t="n"/>
      <c r="BC141" s="15" t="n"/>
      <c r="BD141" s="15" t="n"/>
      <c r="BE141" s="15" t="n"/>
      <c r="BF141" s="15" t="n"/>
      <c r="BG141" s="15" t="n"/>
      <c r="BH141" s="15" t="n"/>
      <c r="BI141" s="15" t="n"/>
      <c r="BJ141" s="15" t="n"/>
      <c r="BK141" s="15" t="n"/>
      <c r="BL141" s="15" t="n"/>
      <c r="BM141" s="15" t="n"/>
      <c r="BN141" s="15" t="n"/>
      <c r="BO141" s="15" t="n"/>
      <c r="BP141" s="15" t="n"/>
      <c r="BQ141" s="15" t="n"/>
      <c r="BR141" s="15" t="n"/>
      <c r="BS141" s="15" t="n"/>
      <c r="BT141" s="17" t="inlineStr">
        <is>
          <t>I</t>
        </is>
      </c>
      <c r="BU141" s="16" t="inlineStr">
        <is>
          <t>I+C</t>
        </is>
      </c>
      <c r="BV141" s="15" t="n"/>
      <c r="BW141" s="15" t="n"/>
      <c r="BX141" s="15" t="n"/>
      <c r="BY141" s="15" t="n"/>
      <c r="BZ141" s="15" t="n"/>
      <c r="CA141" s="15" t="n"/>
      <c r="CB141" s="15" t="n"/>
      <c r="CC141" s="15" t="n"/>
      <c r="CD141" s="15" t="n"/>
      <c r="CE141" s="15" t="n"/>
      <c r="CF141" s="15" t="n"/>
      <c r="CG141" s="15" t="n"/>
      <c r="CH141" s="15" t="n"/>
      <c r="CI141" s="15" t="n"/>
      <c r="CJ141" s="15" t="n"/>
      <c r="CK141" s="15" t="n"/>
      <c r="CL141" s="15" t="n"/>
      <c r="CM141" s="15" t="n"/>
      <c r="CN141" s="15" t="n"/>
      <c r="CO141" s="15" t="n"/>
      <c r="CP141" s="15" t="n"/>
      <c r="CQ141" s="15" t="n"/>
      <c r="CR141" s="15" t="n"/>
      <c r="CS141" s="15" t="n"/>
      <c r="CT141" s="15" t="n"/>
      <c r="CU141" s="15" t="n"/>
      <c r="CV141" s="15" t="n"/>
      <c r="CW141" s="15" t="n"/>
      <c r="CX141" s="15" t="n"/>
      <c r="CY141" s="15" t="n"/>
      <c r="CZ141" s="15" t="n"/>
      <c r="DA141" s="15" t="n"/>
      <c r="DB141" s="15" t="n"/>
      <c r="DC141" s="15" t="n"/>
      <c r="DD141" s="15" t="n"/>
      <c r="DE141" s="15" t="n"/>
      <c r="DF141" s="15" t="n"/>
      <c r="DG141" s="15" t="n"/>
      <c r="DH141" s="15" t="n"/>
      <c r="DI141" s="15" t="n"/>
      <c r="DJ141" s="15" t="n"/>
      <c r="DK141" s="15" t="n"/>
      <c r="DL141" s="15" t="n"/>
    </row>
    <row r="142">
      <c r="A142" s="14" t="inlineStr">
        <is>
          <t>40A-B</t>
        </is>
      </c>
      <c r="B142" s="7" t="inlineStr">
        <is>
          <t>LLP reconstruction / amalgamation</t>
        </is>
      </c>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c r="AH142" s="15" t="n"/>
      <c r="AI142" s="15" t="n"/>
      <c r="AJ142" s="15" t="n"/>
      <c r="AK142" s="15" t="n"/>
      <c r="AL142" s="15" t="n"/>
      <c r="AM142" s="15" t="n"/>
      <c r="AN142" s="15" t="n"/>
      <c r="AO142" s="15" t="n"/>
      <c r="AP142" s="15" t="n"/>
      <c r="AQ142" s="15" t="n"/>
      <c r="AR142" s="15" t="n"/>
      <c r="AS142" s="15" t="n"/>
      <c r="AT142" s="15" t="n"/>
      <c r="AU142" s="15" t="n"/>
      <c r="AV142" s="15" t="n"/>
      <c r="AW142" s="15" t="n"/>
      <c r="AX142" s="15" t="n"/>
      <c r="AY142" s="15" t="n"/>
      <c r="AZ142" s="15" t="n"/>
      <c r="BA142" s="15" t="n"/>
      <c r="BB142" s="15" t="n"/>
      <c r="BC142" s="15" t="n"/>
      <c r="BD142" s="15" t="n"/>
      <c r="BE142" s="15" t="n"/>
      <c r="BF142" s="15" t="n"/>
      <c r="BG142" s="15" t="n"/>
      <c r="BH142" s="15" t="n"/>
      <c r="BI142" s="15" t="n"/>
      <c r="BJ142" s="15" t="n"/>
      <c r="BK142" s="15" t="n"/>
      <c r="BL142" s="15" t="n"/>
      <c r="BM142" s="15" t="n"/>
      <c r="BN142" s="15" t="n"/>
      <c r="BO142" s="15" t="n"/>
      <c r="BP142" s="15" t="n"/>
      <c r="BQ142" s="15" t="n"/>
      <c r="BR142" s="15" t="n"/>
      <c r="BS142" s="15" t="n"/>
      <c r="BT142" s="17" t="inlineStr">
        <is>
          <t>I</t>
        </is>
      </c>
      <c r="BU142" s="15" t="n"/>
      <c r="BV142" s="19" t="inlineStr">
        <is>
          <t>C</t>
        </is>
      </c>
      <c r="BW142" s="15" t="n"/>
      <c r="BX142" s="15" t="n"/>
      <c r="BY142" s="15" t="n"/>
      <c r="BZ142" s="15" t="n"/>
      <c r="CA142" s="15" t="n"/>
      <c r="CB142" s="15" t="n"/>
      <c r="CC142" s="15" t="n"/>
      <c r="CD142" s="15" t="n"/>
      <c r="CE142" s="15" t="n"/>
      <c r="CF142" s="15" t="n"/>
      <c r="CG142" s="15" t="n"/>
      <c r="CH142" s="15" t="n"/>
      <c r="CI142" s="15" t="n"/>
      <c r="CJ142" s="15" t="n"/>
      <c r="CK142" s="15" t="n"/>
      <c r="CL142" s="15" t="n"/>
      <c r="CM142" s="15" t="n"/>
      <c r="CN142" s="15" t="n"/>
      <c r="CO142" s="15" t="n"/>
      <c r="CP142" s="15" t="n"/>
      <c r="CQ142" s="15" t="n"/>
      <c r="CR142" s="15" t="n"/>
      <c r="CS142" s="15" t="n"/>
      <c r="CT142" s="15" t="n"/>
      <c r="CU142" s="15" t="n"/>
      <c r="CV142" s="15" t="n"/>
      <c r="CW142" s="15" t="n"/>
      <c r="CX142" s="15" t="n"/>
      <c r="CY142" s="15" t="n"/>
      <c r="CZ142" s="15" t="n"/>
      <c r="DA142" s="15" t="n"/>
      <c r="DB142" s="15" t="n"/>
      <c r="DC142" s="15" t="n"/>
      <c r="DD142" s="15" t="n"/>
      <c r="DE142" s="15" t="n"/>
      <c r="DF142" s="15" t="n"/>
      <c r="DG142" s="15" t="n"/>
      <c r="DH142" s="15" t="n"/>
      <c r="DI142" s="15" t="n"/>
      <c r="DJ142" s="15" t="n"/>
      <c r="DK142" s="15" t="n"/>
      <c r="DL142" s="15" t="n"/>
    </row>
    <row r="143">
      <c r="A143" s="14" t="inlineStr">
        <is>
          <t>41(a)</t>
        </is>
      </c>
      <c r="B143" s="7" t="inlineStr">
        <is>
          <t>POA - registration / admission of execution only (single transaction)</t>
        </is>
      </c>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c r="AH143" s="15" t="n"/>
      <c r="AI143" s="15" t="n"/>
      <c r="AJ143" s="15" t="n"/>
      <c r="AK143" s="15" t="n"/>
      <c r="AL143" s="15" t="n"/>
      <c r="AM143" s="15" t="n"/>
      <c r="AN143" s="15" t="n"/>
      <c r="AO143" s="15" t="n"/>
      <c r="AP143" s="15" t="n"/>
      <c r="AQ143" s="15" t="n"/>
      <c r="AR143" s="15" t="n"/>
      <c r="AS143" s="15" t="n"/>
      <c r="AT143" s="15" t="n"/>
      <c r="AU143" s="15" t="n"/>
      <c r="AV143" s="15" t="n"/>
      <c r="AW143" s="15" t="n"/>
      <c r="AX143" s="15" t="n"/>
      <c r="AY143" s="15" t="n"/>
      <c r="AZ143" s="15" t="n"/>
      <c r="BA143" s="15" t="n"/>
      <c r="BB143" s="15" t="n"/>
      <c r="BC143" s="15" t="n"/>
      <c r="BD143" s="15" t="n"/>
      <c r="BE143" s="15" t="n"/>
      <c r="BF143" s="15" t="n"/>
      <c r="BG143" s="15" t="n"/>
      <c r="BH143" s="15" t="n"/>
      <c r="BI143" s="15" t="n"/>
      <c r="BJ143" s="17" t="inlineStr">
        <is>
          <t>I</t>
        </is>
      </c>
      <c r="BK143" s="15" t="n"/>
      <c r="BL143" s="15" t="n"/>
      <c r="BM143" s="15" t="n"/>
      <c r="BN143" s="15" t="n"/>
      <c r="BO143" s="15" t="n"/>
      <c r="BP143" s="15" t="n"/>
      <c r="BQ143" s="15" t="n"/>
      <c r="BR143" s="15" t="n"/>
      <c r="BS143" s="15" t="n"/>
      <c r="BT143" s="15" t="n"/>
      <c r="BU143" s="15" t="n"/>
      <c r="BV143" s="15" t="n"/>
      <c r="BW143" s="15" t="n"/>
      <c r="BX143" s="15" t="n"/>
      <c r="BY143" s="15" t="n"/>
      <c r="BZ143" s="15" t="n"/>
      <c r="CA143" s="15" t="n"/>
      <c r="CB143" s="15" t="n"/>
      <c r="CC143" s="15" t="n"/>
      <c r="CD143" s="15" t="n"/>
      <c r="CE143" s="15" t="n"/>
      <c r="CF143" s="15" t="n"/>
      <c r="CG143" s="15" t="n"/>
      <c r="CH143" s="15" t="n"/>
      <c r="CI143" s="15" t="n"/>
      <c r="CJ143" s="15" t="n"/>
      <c r="CK143" s="15" t="n"/>
      <c r="CL143" s="15" t="n"/>
      <c r="CM143" s="15" t="n"/>
      <c r="CN143" s="15" t="n"/>
      <c r="CO143" s="15" t="n"/>
      <c r="CP143" s="15" t="n"/>
      <c r="CQ143" s="15" t="n"/>
      <c r="CR143" s="15" t="n"/>
      <c r="CS143" s="15" t="n"/>
      <c r="CT143" s="15" t="n"/>
      <c r="CU143" s="15" t="n"/>
      <c r="CV143" s="15" t="n"/>
      <c r="CW143" s="15" t="n"/>
      <c r="CX143" s="15" t="n"/>
      <c r="CY143" s="15" t="n"/>
      <c r="CZ143" s="15" t="n"/>
      <c r="DA143" s="15" t="n"/>
      <c r="DB143" s="15" t="n"/>
      <c r="DC143" s="15" t="n"/>
      <c r="DD143" s="15" t="n"/>
      <c r="DE143" s="15" t="n"/>
      <c r="DF143" s="15" t="n"/>
      <c r="DG143" s="15" t="n"/>
      <c r="DH143" s="15" t="n"/>
      <c r="DI143" s="15" t="n"/>
      <c r="DJ143" s="15" t="n"/>
      <c r="DK143" s="15" t="n"/>
      <c r="DL143" s="15" t="n"/>
    </row>
    <row r="144">
      <c r="A144" s="14" t="inlineStr">
        <is>
          <t>41(b)</t>
        </is>
      </c>
      <c r="B144" s="7" t="inlineStr">
        <is>
          <t>POA - single transaction (other than registration)</t>
        </is>
      </c>
      <c r="C144" s="15" t="n"/>
      <c r="D144" s="17" t="inlineStr">
        <is>
          <t>I</t>
        </is>
      </c>
      <c r="E144" s="15" t="n"/>
      <c r="F144" s="15" t="n"/>
      <c r="G144" s="15" t="n"/>
      <c r="H144" s="15" t="n"/>
      <c r="I144" s="15" t="n"/>
      <c r="J144" s="15" t="n"/>
      <c r="K144" s="15" t="n"/>
      <c r="L144" s="15" t="n"/>
      <c r="M144" s="15" t="n"/>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c r="AH144" s="15" t="n"/>
      <c r="AI144" s="15" t="n"/>
      <c r="AJ144" s="15" t="n"/>
      <c r="AK144" s="15" t="n"/>
      <c r="AL144" s="15" t="n"/>
      <c r="AM144" s="15" t="n"/>
      <c r="AN144" s="15" t="n"/>
      <c r="AO144" s="15" t="n"/>
      <c r="AP144" s="15" t="n"/>
      <c r="AQ144" s="15" t="n"/>
      <c r="AR144" s="15" t="n"/>
      <c r="AS144" s="15" t="n"/>
      <c r="AT144" s="15" t="n"/>
      <c r="AU144" s="15" t="n"/>
      <c r="AV144" s="15" t="n"/>
      <c r="AW144" s="15" t="n"/>
      <c r="AX144" s="15" t="n"/>
      <c r="AY144" s="15" t="n"/>
      <c r="AZ144" s="15" t="n"/>
      <c r="BA144" s="15" t="n"/>
      <c r="BB144" s="15" t="n"/>
      <c r="BC144" s="15" t="n"/>
      <c r="BD144" s="15" t="n"/>
      <c r="BE144" s="15" t="n"/>
      <c r="BF144" s="15" t="n"/>
      <c r="BG144" s="15" t="n"/>
      <c r="BH144" s="15" t="n"/>
      <c r="BI144" s="15" t="n"/>
      <c r="BJ144" s="17" t="inlineStr">
        <is>
          <t>I</t>
        </is>
      </c>
      <c r="BK144" s="15" t="n"/>
      <c r="BL144" s="17" t="inlineStr">
        <is>
          <t>I</t>
        </is>
      </c>
      <c r="BM144" s="15" t="n"/>
      <c r="BN144" s="15" t="n"/>
      <c r="BO144" s="15" t="n"/>
      <c r="BP144" s="15" t="n"/>
      <c r="BQ144" s="15" t="n"/>
      <c r="BR144" s="15" t="n"/>
      <c r="BS144" s="15" t="n"/>
      <c r="BT144" s="15" t="n"/>
      <c r="BU144" s="15" t="n"/>
      <c r="BV144" s="15" t="n"/>
      <c r="BW144" s="15" t="n"/>
      <c r="BX144" s="15" t="n"/>
      <c r="BY144" s="15" t="n"/>
      <c r="BZ144" s="15" t="n"/>
      <c r="CA144" s="15" t="n"/>
      <c r="CB144" s="15" t="n"/>
      <c r="CC144" s="15" t="n"/>
      <c r="CD144" s="15" t="n"/>
      <c r="CE144" s="15" t="n"/>
      <c r="CF144" s="15" t="n"/>
      <c r="CG144" s="15" t="n"/>
      <c r="CH144" s="15" t="n"/>
      <c r="CI144" s="15" t="n"/>
      <c r="CJ144" s="15" t="n"/>
      <c r="CK144" s="15" t="n"/>
      <c r="CL144" s="15" t="n"/>
      <c r="CM144" s="15" t="n"/>
      <c r="CN144" s="15" t="n"/>
      <c r="CO144" s="15" t="n"/>
      <c r="CP144" s="15" t="n"/>
      <c r="CQ144" s="15" t="n"/>
      <c r="CR144" s="15" t="n"/>
      <c r="CS144" s="15" t="n"/>
      <c r="CT144" s="15" t="n"/>
      <c r="CU144" s="15" t="n"/>
      <c r="CV144" s="15" t="n"/>
      <c r="CW144" s="15" t="n"/>
      <c r="CX144" s="15" t="n"/>
      <c r="CY144" s="15" t="n"/>
      <c r="CZ144" s="15" t="n"/>
      <c r="DA144" s="15" t="n"/>
      <c r="DB144" s="15" t="n"/>
      <c r="DC144" s="15" t="n"/>
      <c r="DD144" s="15" t="n"/>
      <c r="DE144" s="15" t="n"/>
      <c r="DF144" s="15" t="n"/>
      <c r="DG144" s="15" t="n"/>
      <c r="DH144" s="15" t="n"/>
      <c r="DI144" s="15" t="n"/>
      <c r="DJ144" s="15" t="n"/>
      <c r="DK144" s="15" t="n"/>
      <c r="DL144" s="15" t="n"/>
    </row>
    <row r="145">
      <c r="A145" s="14" t="inlineStr">
        <is>
          <t>41(c)</t>
        </is>
      </c>
      <c r="B145" s="7" t="inlineStr">
        <is>
          <t>General POA - up to 5 attorneys</t>
        </is>
      </c>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c r="AH145" s="15" t="n"/>
      <c r="AI145" s="15" t="n"/>
      <c r="AJ145" s="15" t="n"/>
      <c r="AK145" s="15" t="n"/>
      <c r="AL145" s="15" t="n"/>
      <c r="AM145" s="15" t="n"/>
      <c r="AN145" s="15" t="n"/>
      <c r="AO145" s="15" t="n"/>
      <c r="AP145" s="15" t="n"/>
      <c r="AQ145" s="15" t="n"/>
      <c r="AR145" s="15" t="n"/>
      <c r="AS145" s="15" t="n"/>
      <c r="AT145" s="15" t="n"/>
      <c r="AU145" s="15" t="n"/>
      <c r="AV145" s="15" t="n"/>
      <c r="AW145" s="15" t="n"/>
      <c r="AX145" s="15" t="n"/>
      <c r="AY145" s="15" t="n"/>
      <c r="AZ145" s="15" t="n"/>
      <c r="BA145" s="15" t="n"/>
      <c r="BB145" s="15" t="n"/>
      <c r="BC145" s="15" t="n"/>
      <c r="BD145" s="15" t="n"/>
      <c r="BE145" s="15" t="n"/>
      <c r="BF145" s="15" t="n"/>
      <c r="BG145" s="15" t="n"/>
      <c r="BH145" s="15" t="n"/>
      <c r="BI145" s="15" t="n"/>
      <c r="BJ145" s="17" t="inlineStr">
        <is>
          <t>I</t>
        </is>
      </c>
      <c r="BK145" s="17" t="inlineStr">
        <is>
          <t>I</t>
        </is>
      </c>
      <c r="BL145" s="15" t="n"/>
      <c r="BM145" s="15" t="n"/>
      <c r="BN145" s="15" t="n"/>
      <c r="BO145" s="15" t="n"/>
      <c r="BP145" s="15" t="n"/>
      <c r="BQ145" s="15" t="n"/>
      <c r="BR145" s="15" t="n"/>
      <c r="BS145" s="15" t="n"/>
      <c r="BT145" s="15" t="n"/>
      <c r="BU145" s="15" t="n"/>
      <c r="BV145" s="15" t="n"/>
      <c r="BW145" s="15" t="n"/>
      <c r="BX145" s="15" t="n"/>
      <c r="BY145" s="15" t="n"/>
      <c r="BZ145" s="15" t="n"/>
      <c r="CA145" s="15" t="n"/>
      <c r="CB145" s="15" t="n"/>
      <c r="CC145" s="15" t="n"/>
      <c r="CD145" s="15" t="n"/>
      <c r="CE145" s="15" t="n"/>
      <c r="CF145" s="15" t="n"/>
      <c r="CG145" s="15" t="n"/>
      <c r="CH145" s="15" t="n"/>
      <c r="CI145" s="15" t="n"/>
      <c r="CJ145" s="15" t="n"/>
      <c r="CK145" s="15" t="n"/>
      <c r="CL145" s="15" t="n"/>
      <c r="CM145" s="15" t="n"/>
      <c r="CN145" s="15" t="n"/>
      <c r="CO145" s="15" t="n"/>
      <c r="CP145" s="15" t="n"/>
      <c r="CQ145" s="15" t="n"/>
      <c r="CR145" s="15" t="n"/>
      <c r="CS145" s="15" t="n"/>
      <c r="CT145" s="15" t="n"/>
      <c r="CU145" s="15" t="n"/>
      <c r="CV145" s="15" t="n"/>
      <c r="CW145" s="15" t="n"/>
      <c r="CX145" s="15" t="n"/>
      <c r="CY145" s="15" t="n"/>
      <c r="CZ145" s="15" t="n"/>
      <c r="DA145" s="15" t="n"/>
      <c r="DB145" s="15" t="n"/>
      <c r="DC145" s="15" t="n"/>
      <c r="DD145" s="15" t="n"/>
      <c r="DE145" s="15" t="n"/>
      <c r="DF145" s="15" t="n"/>
      <c r="DG145" s="15" t="n"/>
      <c r="DH145" s="15" t="n"/>
      <c r="DI145" s="15" t="n"/>
      <c r="DJ145" s="15" t="n"/>
      <c r="DK145" s="15" t="n"/>
      <c r="DL145" s="15" t="n"/>
    </row>
    <row r="146">
      <c r="A146" s="14" t="inlineStr">
        <is>
          <t>41(d)</t>
        </is>
      </c>
      <c r="B146" s="7" t="inlineStr">
        <is>
          <t>General POA - 6 to 10 attorneys</t>
        </is>
      </c>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c r="AH146" s="15" t="n"/>
      <c r="AI146" s="15" t="n"/>
      <c r="AJ146" s="15" t="n"/>
      <c r="AK146" s="15" t="n"/>
      <c r="AL146" s="15" t="n"/>
      <c r="AM146" s="15" t="n"/>
      <c r="AN146" s="15" t="n"/>
      <c r="AO146" s="15" t="n"/>
      <c r="AP146" s="15" t="n"/>
      <c r="AQ146" s="15" t="n"/>
      <c r="AR146" s="15" t="n"/>
      <c r="AS146" s="15" t="n"/>
      <c r="AT146" s="15" t="n"/>
      <c r="AU146" s="15" t="n"/>
      <c r="AV146" s="15" t="n"/>
      <c r="AW146" s="15" t="n"/>
      <c r="AX146" s="15" t="n"/>
      <c r="AY146" s="15" t="n"/>
      <c r="AZ146" s="15" t="n"/>
      <c r="BA146" s="15" t="n"/>
      <c r="BB146" s="15" t="n"/>
      <c r="BC146" s="15" t="n"/>
      <c r="BD146" s="15" t="n"/>
      <c r="BE146" s="15" t="n"/>
      <c r="BF146" s="15" t="n"/>
      <c r="BG146" s="15" t="n"/>
      <c r="BH146" s="15" t="n"/>
      <c r="BI146" s="15" t="n"/>
      <c r="BJ146" s="17" t="inlineStr">
        <is>
          <t>I</t>
        </is>
      </c>
      <c r="BK146" s="17" t="inlineStr">
        <is>
          <t>I</t>
        </is>
      </c>
      <c r="BL146" s="15" t="n"/>
      <c r="BM146" s="15" t="n"/>
      <c r="BN146" s="15" t="n"/>
      <c r="BO146" s="15" t="n"/>
      <c r="BP146" s="15" t="n"/>
      <c r="BQ146" s="15" t="n"/>
      <c r="BR146" s="15" t="n"/>
      <c r="BS146" s="15" t="n"/>
      <c r="BT146" s="15" t="n"/>
      <c r="BU146" s="15" t="n"/>
      <c r="BV146" s="15" t="n"/>
      <c r="BW146" s="15" t="n"/>
      <c r="BX146" s="15" t="n"/>
      <c r="BY146" s="15" t="n"/>
      <c r="BZ146" s="15" t="n"/>
      <c r="CA146" s="15" t="n"/>
      <c r="CB146" s="15" t="n"/>
      <c r="CC146" s="15" t="n"/>
      <c r="CD146" s="15" t="n"/>
      <c r="CE146" s="15" t="n"/>
      <c r="CF146" s="15" t="n"/>
      <c r="CG146" s="15" t="n"/>
      <c r="CH146" s="15" t="n"/>
      <c r="CI146" s="15" t="n"/>
      <c r="CJ146" s="15" t="n"/>
      <c r="CK146" s="15" t="n"/>
      <c r="CL146" s="15" t="n"/>
      <c r="CM146" s="15" t="n"/>
      <c r="CN146" s="15" t="n"/>
      <c r="CO146" s="15" t="n"/>
      <c r="CP146" s="15" t="n"/>
      <c r="CQ146" s="15" t="n"/>
      <c r="CR146" s="15" t="n"/>
      <c r="CS146" s="15" t="n"/>
      <c r="CT146" s="15" t="n"/>
      <c r="CU146" s="15" t="n"/>
      <c r="CV146" s="15" t="n"/>
      <c r="CW146" s="15" t="n"/>
      <c r="CX146" s="15" t="n"/>
      <c r="CY146" s="15" t="n"/>
      <c r="CZ146" s="15" t="n"/>
      <c r="DA146" s="15" t="n"/>
      <c r="DB146" s="15" t="n"/>
      <c r="DC146" s="15" t="n"/>
      <c r="DD146" s="15" t="n"/>
      <c r="DE146" s="15" t="n"/>
      <c r="DF146" s="15" t="n"/>
      <c r="DG146" s="15" t="n"/>
      <c r="DH146" s="15" t="n"/>
      <c r="DI146" s="15" t="n"/>
      <c r="DJ146" s="15" t="n"/>
      <c r="DK146" s="15" t="n"/>
      <c r="DL146" s="15" t="n"/>
    </row>
    <row r="147">
      <c r="A147" s="14" t="inlineStr">
        <is>
          <t>41(e)</t>
        </is>
      </c>
      <c r="B147" s="7" t="inlineStr">
        <is>
          <t>POA to sell immovable - for consideration / coupled with interest</t>
        </is>
      </c>
      <c r="C147" s="15" t="n"/>
      <c r="D147" s="15" t="n"/>
      <c r="E147" s="19" t="inlineStr">
        <is>
          <t>C</t>
        </is>
      </c>
      <c r="F147" s="19" t="inlineStr">
        <is>
          <t>C</t>
        </is>
      </c>
      <c r="G147" s="15" t="n"/>
      <c r="H147" s="15" t="n"/>
      <c r="I147" s="15" t="n"/>
      <c r="J147" s="15" t="n"/>
      <c r="K147" s="15" t="n"/>
      <c r="L147" s="15" t="n"/>
      <c r="M147" s="15" t="n"/>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c r="AH147" s="15" t="n"/>
      <c r="AI147" s="15" t="n"/>
      <c r="AJ147" s="15" t="n"/>
      <c r="AK147" s="15" t="n"/>
      <c r="AL147" s="15" t="n"/>
      <c r="AM147" s="15" t="n"/>
      <c r="AN147" s="15" t="n"/>
      <c r="AO147" s="15" t="n"/>
      <c r="AP147" s="15" t="n"/>
      <c r="AQ147" s="15" t="n"/>
      <c r="AR147" s="15" t="n"/>
      <c r="AS147" s="15" t="n"/>
      <c r="AT147" s="15" t="n"/>
      <c r="AU147" s="15" t="n"/>
      <c r="AV147" s="15" t="n"/>
      <c r="AW147" s="15" t="n"/>
      <c r="AX147" s="15" t="n"/>
      <c r="AY147" s="15" t="n"/>
      <c r="AZ147" s="15" t="n"/>
      <c r="BA147" s="15" t="n"/>
      <c r="BB147" s="15" t="n"/>
      <c r="BC147" s="15" t="n"/>
      <c r="BD147" s="15" t="n"/>
      <c r="BE147" s="15" t="n"/>
      <c r="BF147" s="15" t="n"/>
      <c r="BG147" s="15" t="n"/>
      <c r="BH147" s="15" t="n"/>
      <c r="BI147" s="15" t="n"/>
      <c r="BJ147" s="17" t="inlineStr">
        <is>
          <t>I</t>
        </is>
      </c>
      <c r="BK147" s="15" t="n"/>
      <c r="BL147" s="17" t="inlineStr">
        <is>
          <t>I</t>
        </is>
      </c>
      <c r="BM147" s="18" t="inlineStr">
        <is>
          <t>E</t>
        </is>
      </c>
      <c r="BN147" s="15" t="n"/>
      <c r="BO147" s="15" t="n"/>
      <c r="BP147" s="15" t="n"/>
      <c r="BQ147" s="15" t="n"/>
      <c r="BR147" s="15" t="n"/>
      <c r="BS147" s="15" t="n"/>
      <c r="BT147" s="15" t="n"/>
      <c r="BU147" s="15" t="n"/>
      <c r="BV147" s="15" t="n"/>
      <c r="BW147" s="15" t="n"/>
      <c r="BX147" s="15" t="n"/>
      <c r="BY147" s="15" t="n"/>
      <c r="BZ147" s="15" t="n"/>
      <c r="CA147" s="15" t="n"/>
      <c r="CB147" s="15" t="n"/>
      <c r="CC147" s="15" t="n"/>
      <c r="CD147" s="15" t="n"/>
      <c r="CE147" s="15" t="n"/>
      <c r="CF147" s="15" t="n"/>
      <c r="CG147" s="15" t="n"/>
      <c r="CH147" s="15" t="n"/>
      <c r="CI147" s="15" t="n"/>
      <c r="CJ147" s="15" t="n"/>
      <c r="CK147" s="15" t="n"/>
      <c r="CL147" s="15" t="n"/>
      <c r="CM147" s="15" t="n"/>
      <c r="CN147" s="15" t="n"/>
      <c r="CO147" s="15" t="n"/>
      <c r="CP147" s="15" t="n"/>
      <c r="CQ147" s="15" t="n"/>
      <c r="CR147" s="15" t="n"/>
      <c r="CS147" s="15" t="n"/>
      <c r="CT147" s="15" t="n"/>
      <c r="CU147" s="15" t="n"/>
      <c r="CV147" s="15" t="n"/>
      <c r="CW147" s="15" t="n"/>
      <c r="CX147" s="15" t="n"/>
      <c r="CY147" s="15" t="n"/>
      <c r="CZ147" s="15" t="n"/>
      <c r="DA147" s="15" t="n"/>
      <c r="DB147" s="15" t="n"/>
      <c r="DC147" s="15" t="n"/>
      <c r="DD147" s="15" t="n"/>
      <c r="DE147" s="15" t="n"/>
      <c r="DF147" s="15" t="n"/>
      <c r="DG147" s="15" t="n"/>
      <c r="DH147" s="15" t="n"/>
      <c r="DI147" s="15" t="n"/>
      <c r="DJ147" s="15" t="n"/>
      <c r="DK147" s="15" t="n"/>
      <c r="DL147" s="15" t="n"/>
    </row>
    <row r="148">
      <c r="A148" s="14" t="inlineStr">
        <is>
          <t>41(ea)</t>
        </is>
      </c>
      <c r="B148" s="7" t="inlineStr">
        <is>
          <t>POA for construction / joint development (owner to developer)</t>
        </is>
      </c>
      <c r="C148" s="15" t="n"/>
      <c r="D148" s="15" t="n"/>
      <c r="E148" s="19" t="inlineStr">
        <is>
          <t>C</t>
        </is>
      </c>
      <c r="F148" s="15" t="n"/>
      <c r="G148" s="15" t="n"/>
      <c r="H148" s="15" t="n"/>
      <c r="I148" s="15" t="n"/>
      <c r="J148" s="15" t="n"/>
      <c r="K148" s="15" t="n"/>
      <c r="L148" s="15" t="n"/>
      <c r="M148" s="15" t="n"/>
      <c r="N148" s="15" t="n"/>
      <c r="O148" s="15" t="n"/>
      <c r="P148" s="15" t="n"/>
      <c r="Q148" s="15" t="n"/>
      <c r="R148" s="15" t="n"/>
      <c r="S148" s="15" t="n"/>
      <c r="T148" s="15" t="n"/>
      <c r="U148" s="15" t="n"/>
      <c r="V148" s="15" t="n"/>
      <c r="W148" s="15" t="n"/>
      <c r="X148" s="15" t="n"/>
      <c r="Y148" s="15" t="n"/>
      <c r="Z148" s="15" t="n"/>
      <c r="AA148" s="15" t="n"/>
      <c r="AB148" s="15" t="n"/>
      <c r="AC148" s="15" t="n"/>
      <c r="AD148" s="19" t="inlineStr">
        <is>
          <t>C</t>
        </is>
      </c>
      <c r="AE148" s="19" t="inlineStr">
        <is>
          <t>C</t>
        </is>
      </c>
      <c r="AF148" s="19" t="inlineStr">
        <is>
          <t>C</t>
        </is>
      </c>
      <c r="AG148" s="15" t="n"/>
      <c r="AH148" s="15" t="n"/>
      <c r="AI148" s="15" t="n"/>
      <c r="AJ148" s="15" t="n"/>
      <c r="AK148" s="15" t="n"/>
      <c r="AL148" s="15" t="n"/>
      <c r="AM148" s="15" t="n"/>
      <c r="AN148" s="15" t="n"/>
      <c r="AO148" s="15" t="n"/>
      <c r="AP148" s="15" t="n"/>
      <c r="AQ148" s="15" t="n"/>
      <c r="AR148" s="15" t="n"/>
      <c r="AS148" s="15" t="n"/>
      <c r="AT148" s="15" t="n"/>
      <c r="AU148" s="15" t="n"/>
      <c r="AV148" s="15" t="n"/>
      <c r="AW148" s="15" t="n"/>
      <c r="AX148" s="15" t="n"/>
      <c r="AY148" s="15" t="n"/>
      <c r="AZ148" s="15" t="n"/>
      <c r="BA148" s="15" t="n"/>
      <c r="BB148" s="15" t="n"/>
      <c r="BC148" s="15" t="n"/>
      <c r="BD148" s="15" t="n"/>
      <c r="BE148" s="15" t="n"/>
      <c r="BF148" s="15" t="n"/>
      <c r="BG148" s="15" t="n"/>
      <c r="BH148" s="15" t="n"/>
      <c r="BI148" s="15" t="n"/>
      <c r="BJ148" s="17" t="inlineStr">
        <is>
          <t>I</t>
        </is>
      </c>
      <c r="BK148" s="15" t="n"/>
      <c r="BL148" s="15" t="n"/>
      <c r="BM148" s="18" t="inlineStr">
        <is>
          <t>E</t>
        </is>
      </c>
      <c r="BN148" s="15" t="n"/>
      <c r="BO148" s="15" t="n"/>
      <c r="BP148" s="15" t="n"/>
      <c r="BQ148" s="15" t="n"/>
      <c r="BR148" s="15" t="n"/>
      <c r="BS148" s="15" t="n"/>
      <c r="BT148" s="15" t="n"/>
      <c r="BU148" s="15" t="n"/>
      <c r="BV148" s="15" t="n"/>
      <c r="BW148" s="15" t="n"/>
      <c r="BX148" s="15" t="n"/>
      <c r="BY148" s="15" t="n"/>
      <c r="BZ148" s="15" t="n"/>
      <c r="CA148" s="15" t="n"/>
      <c r="CB148" s="15" t="n"/>
      <c r="CC148" s="15" t="n"/>
      <c r="CD148" s="15" t="n"/>
      <c r="CE148" s="15" t="n"/>
      <c r="CF148" s="15" t="n"/>
      <c r="CG148" s="15" t="n"/>
      <c r="CH148" s="15" t="n"/>
      <c r="CI148" s="15" t="n"/>
      <c r="CJ148" s="15" t="n"/>
      <c r="CK148" s="15" t="n"/>
      <c r="CL148" s="15" t="n"/>
      <c r="CM148" s="15" t="n"/>
      <c r="CN148" s="15" t="n"/>
      <c r="CO148" s="15" t="n"/>
      <c r="CP148" s="15" t="n"/>
      <c r="CQ148" s="15" t="n"/>
      <c r="CR148" s="15" t="n"/>
      <c r="CS148" s="15" t="n"/>
      <c r="CT148" s="15" t="n"/>
      <c r="CU148" s="15" t="n"/>
      <c r="CV148" s="15" t="n"/>
      <c r="CW148" s="15" t="n"/>
      <c r="CX148" s="15" t="n"/>
      <c r="CY148" s="15" t="n"/>
      <c r="CZ148" s="15" t="n"/>
      <c r="DA148" s="15" t="n"/>
      <c r="DB148" s="15" t="n"/>
      <c r="DC148" s="15" t="n"/>
      <c r="DD148" s="15" t="n"/>
      <c r="DE148" s="15" t="n"/>
      <c r="DF148" s="15" t="n"/>
      <c r="DG148" s="15" t="n"/>
      <c r="DH148" s="15" t="n"/>
      <c r="DI148" s="15" t="n"/>
      <c r="DJ148" s="15" t="n"/>
      <c r="DK148" s="15" t="n"/>
      <c r="DL148" s="15" t="n"/>
    </row>
    <row r="149">
      <c r="A149" s="14" t="inlineStr">
        <is>
          <t>41(eb)</t>
        </is>
      </c>
      <c r="B149" s="7" t="inlineStr">
        <is>
          <t>POA to sell immovable in Karnataka - attorney not a family member</t>
        </is>
      </c>
      <c r="C149" s="15" t="n"/>
      <c r="D149" s="17" t="inlineStr">
        <is>
          <t>I</t>
        </is>
      </c>
      <c r="E149" s="15" t="n"/>
      <c r="F149" s="19" t="inlineStr">
        <is>
          <t>C</t>
        </is>
      </c>
      <c r="G149" s="15" t="n"/>
      <c r="H149" s="15" t="n"/>
      <c r="I149" s="15" t="n"/>
      <c r="J149" s="15" t="n"/>
      <c r="K149" s="15" t="n"/>
      <c r="L149" s="15" t="n"/>
      <c r="M149" s="15" t="n"/>
      <c r="N149" s="17" t="inlineStr">
        <is>
          <t>I</t>
        </is>
      </c>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c r="AH149" s="15" t="n"/>
      <c r="AI149" s="15" t="n"/>
      <c r="AJ149" s="15" t="n"/>
      <c r="AK149" s="15" t="n"/>
      <c r="AL149" s="15" t="n"/>
      <c r="AM149" s="15" t="n"/>
      <c r="AN149" s="15" t="n"/>
      <c r="AO149" s="15" t="n"/>
      <c r="AP149" s="15" t="n"/>
      <c r="AQ149" s="15" t="n"/>
      <c r="AR149" s="15" t="n"/>
      <c r="AS149" s="15" t="n"/>
      <c r="AT149" s="15" t="n"/>
      <c r="AU149" s="15" t="n"/>
      <c r="AV149" s="15" t="n"/>
      <c r="AW149" s="15" t="n"/>
      <c r="AX149" s="15" t="n"/>
      <c r="AY149" s="15" t="n"/>
      <c r="AZ149" s="15" t="n"/>
      <c r="BA149" s="15" t="n"/>
      <c r="BB149" s="15" t="n"/>
      <c r="BC149" s="15" t="n"/>
      <c r="BD149" s="15" t="n"/>
      <c r="BE149" s="15" t="n"/>
      <c r="BF149" s="15" t="n"/>
      <c r="BG149" s="15" t="n"/>
      <c r="BH149" s="15" t="n"/>
      <c r="BI149" s="15" t="n"/>
      <c r="BJ149" s="17" t="inlineStr">
        <is>
          <t>I</t>
        </is>
      </c>
      <c r="BK149" s="15" t="n"/>
      <c r="BL149" s="17" t="inlineStr">
        <is>
          <t>I</t>
        </is>
      </c>
      <c r="BM149" s="18" t="inlineStr">
        <is>
          <t>E</t>
        </is>
      </c>
      <c r="BN149" s="15" t="n"/>
      <c r="BO149" s="15" t="n"/>
      <c r="BP149" s="15" t="n"/>
      <c r="BQ149" s="15" t="n"/>
      <c r="BR149" s="15" t="n"/>
      <c r="BS149" s="15" t="n"/>
      <c r="BT149" s="15" t="n"/>
      <c r="BU149" s="15" t="n"/>
      <c r="BV149" s="15" t="n"/>
      <c r="BW149" s="15" t="n"/>
      <c r="BX149" s="15" t="n"/>
      <c r="BY149" s="15" t="n"/>
      <c r="BZ149" s="15" t="n"/>
      <c r="CA149" s="15" t="n"/>
      <c r="CB149" s="15" t="n"/>
      <c r="CC149" s="15" t="n"/>
      <c r="CD149" s="15" t="n"/>
      <c r="CE149" s="15" t="n"/>
      <c r="CF149" s="15" t="n"/>
      <c r="CG149" s="15" t="n"/>
      <c r="CH149" s="15" t="n"/>
      <c r="CI149" s="15" t="n"/>
      <c r="CJ149" s="15" t="n"/>
      <c r="CK149" s="15" t="n"/>
      <c r="CL149" s="15" t="n"/>
      <c r="CM149" s="15" t="n"/>
      <c r="CN149" s="15" t="n"/>
      <c r="CO149" s="15" t="n"/>
      <c r="CP149" s="15" t="n"/>
      <c r="CQ149" s="15" t="n"/>
      <c r="CR149" s="15" t="n"/>
      <c r="CS149" s="15" t="n"/>
      <c r="CT149" s="15" t="n"/>
      <c r="CU149" s="15" t="n"/>
      <c r="CV149" s="15" t="n"/>
      <c r="CW149" s="15" t="n"/>
      <c r="CX149" s="15" t="n"/>
      <c r="CY149" s="15" t="n"/>
      <c r="CZ149" s="15" t="n"/>
      <c r="DA149" s="15" t="n"/>
      <c r="DB149" s="15" t="n"/>
      <c r="DC149" s="15" t="n"/>
      <c r="DD149" s="15" t="n"/>
      <c r="DE149" s="15" t="n"/>
      <c r="DF149" s="15" t="n"/>
      <c r="DG149" s="15" t="n"/>
      <c r="DH149" s="15" t="n"/>
      <c r="DI149" s="15" t="n"/>
      <c r="DJ149" s="15" t="n"/>
      <c r="DK149" s="15" t="n"/>
      <c r="DL149" s="15" t="n"/>
    </row>
    <row r="150">
      <c r="A150" s="14" t="inlineStr">
        <is>
          <t>41(ec)</t>
        </is>
      </c>
      <c r="B150" s="7" t="inlineStr">
        <is>
          <t>POA to sell TDR - attorney not a family member</t>
        </is>
      </c>
      <c r="C150" s="15" t="n"/>
      <c r="D150" s="17" t="inlineStr">
        <is>
          <t>I</t>
        </is>
      </c>
      <c r="E150" s="15" t="n"/>
      <c r="F150" s="19" t="inlineStr">
        <is>
          <t>C</t>
        </is>
      </c>
      <c r="G150" s="15" t="n"/>
      <c r="H150" s="15" t="n"/>
      <c r="I150" s="15" t="n"/>
      <c r="J150" s="15" t="n"/>
      <c r="K150" s="15" t="n"/>
      <c r="L150" s="15" t="n"/>
      <c r="M150" s="15" t="n"/>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c r="AH150" s="15" t="n"/>
      <c r="AI150" s="15" t="n"/>
      <c r="AJ150" s="15" t="n"/>
      <c r="AK150" s="15" t="n"/>
      <c r="AL150" s="15" t="n"/>
      <c r="AM150" s="15" t="n"/>
      <c r="AN150" s="15" t="n"/>
      <c r="AO150" s="15" t="n"/>
      <c r="AP150" s="15" t="n"/>
      <c r="AQ150" s="15" t="n"/>
      <c r="AR150" s="15" t="n"/>
      <c r="AS150" s="15" t="n"/>
      <c r="AT150" s="15" t="n"/>
      <c r="AU150" s="15" t="n"/>
      <c r="AV150" s="15" t="n"/>
      <c r="AW150" s="15" t="n"/>
      <c r="AX150" s="15" t="n"/>
      <c r="AY150" s="15" t="n"/>
      <c r="AZ150" s="15" t="n"/>
      <c r="BA150" s="15" t="n"/>
      <c r="BB150" s="15" t="n"/>
      <c r="BC150" s="15" t="n"/>
      <c r="BD150" s="15" t="n"/>
      <c r="BE150" s="15" t="n"/>
      <c r="BF150" s="15" t="n"/>
      <c r="BG150" s="15" t="n"/>
      <c r="BH150" s="15" t="n"/>
      <c r="BI150" s="15" t="n"/>
      <c r="BJ150" s="17" t="inlineStr">
        <is>
          <t>I</t>
        </is>
      </c>
      <c r="BK150" s="15" t="n"/>
      <c r="BL150" s="15" t="n"/>
      <c r="BM150" s="15" t="n"/>
      <c r="BN150" s="15" t="n"/>
      <c r="BO150" s="15" t="n"/>
      <c r="BP150" s="15" t="n"/>
      <c r="BQ150" s="15" t="n"/>
      <c r="BR150" s="15" t="n"/>
      <c r="BS150" s="15" t="n"/>
      <c r="BT150" s="15" t="n"/>
      <c r="BU150" s="15" t="n"/>
      <c r="BV150" s="15" t="n"/>
      <c r="BW150" s="15" t="n"/>
      <c r="BX150" s="15" t="n"/>
      <c r="BY150" s="15" t="n"/>
      <c r="BZ150" s="15" t="n"/>
      <c r="CA150" s="15" t="n"/>
      <c r="CB150" s="15" t="n"/>
      <c r="CC150" s="15" t="n"/>
      <c r="CD150" s="15" t="n"/>
      <c r="CE150" s="15" t="n"/>
      <c r="CF150" s="15" t="n"/>
      <c r="CG150" s="15" t="n"/>
      <c r="CH150" s="15" t="n"/>
      <c r="CI150" s="15" t="n"/>
      <c r="CJ150" s="15" t="n"/>
      <c r="CK150" s="15" t="n"/>
      <c r="CL150" s="15" t="n"/>
      <c r="CM150" s="15" t="n"/>
      <c r="CN150" s="15" t="n"/>
      <c r="CO150" s="15" t="n"/>
      <c r="CP150" s="15" t="n"/>
      <c r="CQ150" s="15" t="n"/>
      <c r="CR150" s="15" t="n"/>
      <c r="CS150" s="15" t="n"/>
      <c r="CT150" s="15" t="n"/>
      <c r="CU150" s="15" t="n"/>
      <c r="CV150" s="15" t="n"/>
      <c r="CW150" s="15" t="n"/>
      <c r="CX150" s="15" t="n"/>
      <c r="CY150" s="15" t="n"/>
      <c r="CZ150" s="15" t="n"/>
      <c r="DA150" s="15" t="n"/>
      <c r="DB150" s="15" t="n"/>
      <c r="DC150" s="15" t="n"/>
      <c r="DD150" s="15" t="n"/>
      <c r="DE150" s="15" t="n"/>
      <c r="DF150" s="15" t="n"/>
      <c r="DG150" s="15" t="n"/>
      <c r="DH150" s="15" t="n"/>
      <c r="DI150" s="15" t="n"/>
      <c r="DJ150" s="15" t="n"/>
      <c r="DK150" s="15" t="n"/>
      <c r="DL150" s="15" t="n"/>
    </row>
    <row r="151">
      <c r="A151" s="14" t="inlineStr">
        <is>
          <t>41(f)</t>
        </is>
      </c>
      <c r="B151" s="7" t="inlineStr">
        <is>
          <t>POA - broker / agent for trading in marketable securities</t>
        </is>
      </c>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c r="AH151" s="15" t="n"/>
      <c r="AI151" s="15" t="n"/>
      <c r="AJ151" s="15" t="n"/>
      <c r="AK151" s="15" t="n"/>
      <c r="AL151" s="15" t="n"/>
      <c r="AM151" s="15" t="n"/>
      <c r="AN151" s="15" t="n"/>
      <c r="AO151" s="15" t="n"/>
      <c r="AP151" s="15" t="n"/>
      <c r="AQ151" s="15" t="n"/>
      <c r="AR151" s="15" t="n"/>
      <c r="AS151" s="15" t="n"/>
      <c r="AT151" s="15" t="n"/>
      <c r="AU151" s="15" t="n"/>
      <c r="AV151" s="15" t="n"/>
      <c r="AW151" s="15" t="n"/>
      <c r="AX151" s="15" t="n"/>
      <c r="AY151" s="15" t="n"/>
      <c r="AZ151" s="15" t="n"/>
      <c r="BA151" s="15" t="n"/>
      <c r="BB151" s="15" t="n"/>
      <c r="BC151" s="15" t="n"/>
      <c r="BD151" s="15" t="n"/>
      <c r="BE151" s="15" t="n"/>
      <c r="BF151" s="15" t="n"/>
      <c r="BG151" s="15" t="n"/>
      <c r="BH151" s="15" t="n"/>
      <c r="BI151" s="15" t="n"/>
      <c r="BJ151" s="17" t="inlineStr">
        <is>
          <t>I</t>
        </is>
      </c>
      <c r="BK151" s="15" t="n"/>
      <c r="BL151" s="15" t="n"/>
      <c r="BM151" s="15" t="n"/>
      <c r="BN151" s="15" t="n"/>
      <c r="BO151" s="15" t="n"/>
      <c r="BP151" s="15" t="n"/>
      <c r="BQ151" s="15" t="n"/>
      <c r="BR151" s="15" t="n"/>
      <c r="BS151" s="15" t="n"/>
      <c r="BT151" s="15" t="n"/>
      <c r="BU151" s="15" t="n"/>
      <c r="BV151" s="15" t="n"/>
      <c r="BW151" s="15" t="n"/>
      <c r="BX151" s="15" t="n"/>
      <c r="BY151" s="15" t="n"/>
      <c r="BZ151" s="15" t="n"/>
      <c r="CA151" s="15" t="n"/>
      <c r="CB151" s="15" t="n"/>
      <c r="CC151" s="15" t="n"/>
      <c r="CD151" s="15" t="n"/>
      <c r="CE151" s="15" t="n"/>
      <c r="CF151" s="15" t="n"/>
      <c r="CG151" s="15" t="n"/>
      <c r="CH151" s="15" t="n"/>
      <c r="CI151" s="15" t="n"/>
      <c r="CJ151" s="15" t="n"/>
      <c r="CK151" s="15" t="n"/>
      <c r="CL151" s="15" t="n"/>
      <c r="CM151" s="15" t="n"/>
      <c r="CN151" s="15" t="n"/>
      <c r="CO151" s="15" t="n"/>
      <c r="CP151" s="15" t="n"/>
      <c r="CQ151" s="15" t="n"/>
      <c r="CR151" s="15" t="n"/>
      <c r="CS151" s="15" t="n"/>
      <c r="CT151" s="15" t="n"/>
      <c r="CU151" s="15" t="n"/>
      <c r="CV151" s="15" t="n"/>
      <c r="CW151" s="15" t="n"/>
      <c r="CX151" s="15" t="n"/>
      <c r="CY151" s="15" t="n"/>
      <c r="CZ151" s="15" t="n"/>
      <c r="DA151" s="15" t="n"/>
      <c r="DB151" s="15" t="n"/>
      <c r="DC151" s="15" t="n"/>
      <c r="DD151" s="15" t="n"/>
      <c r="DE151" s="15" t="n"/>
      <c r="DF151" s="15" t="n"/>
      <c r="DG151" s="15" t="n"/>
      <c r="DH151" s="15" t="n"/>
      <c r="DI151" s="15" t="n"/>
      <c r="DJ151" s="15" t="n"/>
      <c r="DK151" s="15" t="n"/>
      <c r="DL151" s="15" t="n"/>
    </row>
    <row r="152">
      <c r="A152" s="14" t="inlineStr">
        <is>
          <t>41(g)</t>
        </is>
      </c>
      <c r="B152" s="7" t="inlineStr">
        <is>
          <t>POA - broker / agent for other trading operations</t>
        </is>
      </c>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c r="AH152" s="15" t="n"/>
      <c r="AI152" s="15" t="n"/>
      <c r="AJ152" s="15" t="n"/>
      <c r="AK152" s="15" t="n"/>
      <c r="AL152" s="15" t="n"/>
      <c r="AM152" s="15" t="n"/>
      <c r="AN152" s="15" t="n"/>
      <c r="AO152" s="15" t="n"/>
      <c r="AP152" s="15" t="n"/>
      <c r="AQ152" s="15" t="n"/>
      <c r="AR152" s="15" t="n"/>
      <c r="AS152" s="15" t="n"/>
      <c r="AT152" s="15" t="n"/>
      <c r="AU152" s="15" t="n"/>
      <c r="AV152" s="15" t="n"/>
      <c r="AW152" s="15" t="n"/>
      <c r="AX152" s="15" t="n"/>
      <c r="AY152" s="15" t="n"/>
      <c r="AZ152" s="15" t="n"/>
      <c r="BA152" s="15" t="n"/>
      <c r="BB152" s="15" t="n"/>
      <c r="BC152" s="15" t="n"/>
      <c r="BD152" s="15" t="n"/>
      <c r="BE152" s="15" t="n"/>
      <c r="BF152" s="15" t="n"/>
      <c r="BG152" s="15" t="n"/>
      <c r="BH152" s="15" t="n"/>
      <c r="BI152" s="15" t="n"/>
      <c r="BJ152" s="17" t="inlineStr">
        <is>
          <t>I</t>
        </is>
      </c>
      <c r="BK152" s="15" t="n"/>
      <c r="BL152" s="15" t="n"/>
      <c r="BM152" s="15" t="n"/>
      <c r="BN152" s="15" t="n"/>
      <c r="BO152" s="15" t="n"/>
      <c r="BP152" s="15" t="n"/>
      <c r="BQ152" s="15" t="n"/>
      <c r="BR152" s="15" t="n"/>
      <c r="BS152" s="15" t="n"/>
      <c r="BT152" s="15" t="n"/>
      <c r="BU152" s="15" t="n"/>
      <c r="BV152" s="15" t="n"/>
      <c r="BW152" s="15" t="n"/>
      <c r="BX152" s="15" t="n"/>
      <c r="BY152" s="15" t="n"/>
      <c r="BZ152" s="15" t="n"/>
      <c r="CA152" s="15" t="n"/>
      <c r="CB152" s="15" t="n"/>
      <c r="CC152" s="15" t="n"/>
      <c r="CD152" s="15" t="n"/>
      <c r="CE152" s="15" t="n"/>
      <c r="CF152" s="15" t="n"/>
      <c r="CG152" s="15" t="n"/>
      <c r="CH152" s="15" t="n"/>
      <c r="CI152" s="15" t="n"/>
      <c r="CJ152" s="15" t="n"/>
      <c r="CK152" s="15" t="n"/>
      <c r="CL152" s="15" t="n"/>
      <c r="CM152" s="15" t="n"/>
      <c r="CN152" s="15" t="n"/>
      <c r="CO152" s="15" t="n"/>
      <c r="CP152" s="15" t="n"/>
      <c r="CQ152" s="15" t="n"/>
      <c r="CR152" s="15" t="n"/>
      <c r="CS152" s="15" t="n"/>
      <c r="CT152" s="15" t="n"/>
      <c r="CU152" s="15" t="n"/>
      <c r="CV152" s="15" t="n"/>
      <c r="CW152" s="15" t="n"/>
      <c r="CX152" s="15" t="n"/>
      <c r="CY152" s="15" t="n"/>
      <c r="CZ152" s="15" t="n"/>
      <c r="DA152" s="15" t="n"/>
      <c r="DB152" s="15" t="n"/>
      <c r="DC152" s="15" t="n"/>
      <c r="DD152" s="15" t="n"/>
      <c r="DE152" s="15" t="n"/>
      <c r="DF152" s="15" t="n"/>
      <c r="DG152" s="15" t="n"/>
      <c r="DH152" s="15" t="n"/>
      <c r="DI152" s="15" t="n"/>
      <c r="DJ152" s="15" t="n"/>
      <c r="DK152" s="15" t="n"/>
      <c r="DL152" s="15" t="n"/>
    </row>
    <row r="153">
      <c r="A153" s="14" t="inlineStr">
        <is>
          <t>41(h)</t>
        </is>
      </c>
      <c r="B153" s="7" t="inlineStr">
        <is>
          <t>POA - any other case</t>
        </is>
      </c>
      <c r="C153" s="15" t="n"/>
      <c r="D153" s="17" t="inlineStr">
        <is>
          <t>I</t>
        </is>
      </c>
      <c r="E153" s="15" t="n"/>
      <c r="F153" s="15" t="n"/>
      <c r="G153" s="15" t="n"/>
      <c r="H153" s="15" t="n"/>
      <c r="I153" s="15" t="n"/>
      <c r="J153" s="15" t="n"/>
      <c r="K153" s="15" t="n"/>
      <c r="L153" s="15" t="n"/>
      <c r="M153" s="15" t="n"/>
      <c r="N153" s="15" t="n"/>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c r="AH153" s="15" t="n"/>
      <c r="AI153" s="15" t="n"/>
      <c r="AJ153" s="15" t="n"/>
      <c r="AK153" s="15" t="n"/>
      <c r="AL153" s="15" t="n"/>
      <c r="AM153" s="15" t="n"/>
      <c r="AN153" s="15" t="n"/>
      <c r="AO153" s="15" t="n"/>
      <c r="AP153" s="15" t="n"/>
      <c r="AQ153" s="15" t="n"/>
      <c r="AR153" s="15" t="n"/>
      <c r="AS153" s="15" t="n"/>
      <c r="AT153" s="15" t="n"/>
      <c r="AU153" s="15" t="n"/>
      <c r="AV153" s="15" t="n"/>
      <c r="AW153" s="15" t="n"/>
      <c r="AX153" s="15" t="n"/>
      <c r="AY153" s="15" t="n"/>
      <c r="AZ153" s="15" t="n"/>
      <c r="BA153" s="15" t="n"/>
      <c r="BB153" s="15" t="n"/>
      <c r="BC153" s="15" t="n"/>
      <c r="BD153" s="15" t="n"/>
      <c r="BE153" s="15" t="n"/>
      <c r="BF153" s="15" t="n"/>
      <c r="BG153" s="15" t="n"/>
      <c r="BH153" s="15" t="n"/>
      <c r="BI153" s="15" t="n"/>
      <c r="BJ153" s="17" t="inlineStr">
        <is>
          <t>I</t>
        </is>
      </c>
      <c r="BK153" s="17" t="inlineStr">
        <is>
          <t>I</t>
        </is>
      </c>
      <c r="BL153" s="15" t="n"/>
      <c r="BM153" s="15" t="n"/>
      <c r="BN153" s="15" t="n"/>
      <c r="BO153" s="15" t="n"/>
      <c r="BP153" s="15" t="n"/>
      <c r="BQ153" s="15" t="n"/>
      <c r="BR153" s="15" t="n"/>
      <c r="BS153" s="15" t="n"/>
      <c r="BT153" s="15" t="n"/>
      <c r="BU153" s="15" t="n"/>
      <c r="BV153" s="15" t="n"/>
      <c r="BW153" s="15" t="n"/>
      <c r="BX153" s="15" t="n"/>
      <c r="BY153" s="15" t="n"/>
      <c r="BZ153" s="15" t="n"/>
      <c r="CA153" s="15" t="n"/>
      <c r="CB153" s="15" t="n"/>
      <c r="CC153" s="15" t="n"/>
      <c r="CD153" s="15" t="n"/>
      <c r="CE153" s="15" t="n"/>
      <c r="CF153" s="15" t="n"/>
      <c r="CG153" s="15" t="n"/>
      <c r="CH153" s="15" t="n"/>
      <c r="CI153" s="15" t="n"/>
      <c r="CJ153" s="15" t="n"/>
      <c r="CK153" s="15" t="n"/>
      <c r="CL153" s="15" t="n"/>
      <c r="CM153" s="15" t="n"/>
      <c r="CN153" s="15" t="n"/>
      <c r="CO153" s="15" t="n"/>
      <c r="CP153" s="15" t="n"/>
      <c r="CQ153" s="15" t="n"/>
      <c r="CR153" s="15" t="n"/>
      <c r="CS153" s="15" t="n"/>
      <c r="CT153" s="15" t="n"/>
      <c r="CU153" s="15" t="n"/>
      <c r="CV153" s="15" t="n"/>
      <c r="CW153" s="15" t="n"/>
      <c r="CX153" s="15" t="n"/>
      <c r="CY153" s="15" t="n"/>
      <c r="CZ153" s="15" t="n"/>
      <c r="DA153" s="15" t="n"/>
      <c r="DB153" s="15" t="n"/>
      <c r="DC153" s="15" t="n"/>
      <c r="DD153" s="15" t="n"/>
      <c r="DE153" s="15" t="n"/>
      <c r="DF153" s="15" t="n"/>
      <c r="DG153" s="15" t="n"/>
      <c r="DH153" s="15" t="n"/>
      <c r="DI153" s="15" t="n"/>
      <c r="DJ153" s="15" t="n"/>
      <c r="DK153" s="15" t="n"/>
      <c r="DL153" s="15" t="n"/>
    </row>
    <row r="154">
      <c r="A154" s="14" t="inlineStr">
        <is>
          <t>42</t>
        </is>
      </c>
      <c r="B154" s="7" t="inlineStr">
        <is>
          <t>Protest of bill or note</t>
        </is>
      </c>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c r="AH154" s="15" t="n"/>
      <c r="AI154" s="15" t="n"/>
      <c r="AJ154" s="15" t="n"/>
      <c r="AK154" s="15" t="n"/>
      <c r="AL154" s="15" t="n"/>
      <c r="AM154" s="15" t="n"/>
      <c r="AN154" s="15" t="n"/>
      <c r="AO154" s="15" t="n"/>
      <c r="AP154" s="15" t="n"/>
      <c r="AQ154" s="15" t="n"/>
      <c r="AR154" s="15" t="n"/>
      <c r="AS154" s="15" t="n"/>
      <c r="AT154" s="15" t="n"/>
      <c r="AU154" s="15" t="n"/>
      <c r="AV154" s="15" t="n"/>
      <c r="AW154" s="15" t="n"/>
      <c r="AX154" s="15" t="n"/>
      <c r="AY154" s="15" t="n"/>
      <c r="AZ154" s="15" t="n"/>
      <c r="BA154" s="15" t="n"/>
      <c r="BB154" s="15" t="n"/>
      <c r="BC154" s="15" t="n"/>
      <c r="BD154" s="15" t="n"/>
      <c r="BE154" s="15" t="n"/>
      <c r="BF154" s="15" t="n"/>
      <c r="BG154" s="15" t="n"/>
      <c r="BH154" s="15" t="n"/>
      <c r="BI154" s="15" t="n"/>
      <c r="BJ154" s="15" t="n"/>
      <c r="BK154" s="15" t="n"/>
      <c r="BL154" s="15" t="n"/>
      <c r="BM154" s="15" t="n"/>
      <c r="BN154" s="15" t="n"/>
      <c r="BO154" s="15" t="n"/>
      <c r="BP154" s="15" t="n"/>
      <c r="BQ154" s="15" t="n"/>
      <c r="BR154" s="15" t="n"/>
      <c r="BS154" s="15" t="n"/>
      <c r="BT154" s="15" t="n"/>
      <c r="BU154" s="15" t="n"/>
      <c r="BV154" s="15" t="n"/>
      <c r="BW154" s="15" t="n"/>
      <c r="BX154" s="15" t="n"/>
      <c r="BY154" s="15" t="n"/>
      <c r="BZ154" s="15" t="n"/>
      <c r="CA154" s="15" t="n"/>
      <c r="CB154" s="15" t="n"/>
      <c r="CC154" s="15" t="n"/>
      <c r="CD154" s="15" t="n"/>
      <c r="CE154" s="15" t="n"/>
      <c r="CF154" s="15" t="n"/>
      <c r="CG154" s="15" t="n"/>
      <c r="CH154" s="15" t="n"/>
      <c r="CI154" s="15" t="n"/>
      <c r="CJ154" s="15" t="n"/>
      <c r="CK154" s="15" t="n"/>
      <c r="CL154" s="15" t="n"/>
      <c r="CM154" s="15" t="n"/>
      <c r="CN154" s="15" t="n"/>
      <c r="CO154" s="15" t="n"/>
      <c r="CP154" s="15" t="n"/>
      <c r="CQ154" s="15" t="n"/>
      <c r="CR154" s="15" t="n"/>
      <c r="CS154" s="15" t="n"/>
      <c r="CT154" s="15" t="n"/>
      <c r="CU154" s="15" t="n"/>
      <c r="CV154" s="15" t="n"/>
      <c r="CW154" s="15" t="n"/>
      <c r="CX154" s="15" t="n"/>
      <c r="CY154" s="15" t="n"/>
      <c r="CZ154" s="15" t="n"/>
      <c r="DA154" s="15" t="n"/>
      <c r="DB154" s="15" t="n"/>
      <c r="DC154" s="15" t="n"/>
      <c r="DD154" s="15" t="n"/>
      <c r="DE154" s="15" t="n"/>
      <c r="DF154" s="15" t="n"/>
      <c r="DG154" s="15" t="n"/>
      <c r="DH154" s="15" t="n"/>
      <c r="DI154" s="15" t="n"/>
      <c r="DJ154" s="15" t="n"/>
      <c r="DK154" s="15" t="n"/>
      <c r="DL154" s="15" t="n"/>
    </row>
    <row r="155">
      <c r="A155" s="14" t="inlineStr">
        <is>
          <t>43</t>
        </is>
      </c>
      <c r="B155" s="7" t="inlineStr">
        <is>
          <t>Protest by master of ship</t>
        </is>
      </c>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c r="AH155" s="15" t="n"/>
      <c r="AI155" s="15" t="n"/>
      <c r="AJ155" s="15" t="n"/>
      <c r="AK155" s="15" t="n"/>
      <c r="AL155" s="15" t="n"/>
      <c r="AM155" s="15" t="n"/>
      <c r="AN155" s="15" t="n"/>
      <c r="AO155" s="15" t="n"/>
      <c r="AP155" s="15" t="n"/>
      <c r="AQ155" s="15" t="n"/>
      <c r="AR155" s="15" t="n"/>
      <c r="AS155" s="15" t="n"/>
      <c r="AT155" s="15" t="n"/>
      <c r="AU155" s="15" t="n"/>
      <c r="AV155" s="15" t="n"/>
      <c r="AW155" s="15" t="n"/>
      <c r="AX155" s="15" t="n"/>
      <c r="AY155" s="15" t="n"/>
      <c r="AZ155" s="15" t="n"/>
      <c r="BA155" s="15" t="n"/>
      <c r="BB155" s="15" t="n"/>
      <c r="BC155" s="15" t="n"/>
      <c r="BD155" s="15" t="n"/>
      <c r="BE155" s="15" t="n"/>
      <c r="BF155" s="15" t="n"/>
      <c r="BG155" s="15" t="n"/>
      <c r="BH155" s="15" t="n"/>
      <c r="BI155" s="15" t="n"/>
      <c r="BJ155" s="15" t="n"/>
      <c r="BK155" s="15" t="n"/>
      <c r="BL155" s="15" t="n"/>
      <c r="BM155" s="15" t="n"/>
      <c r="BN155" s="15" t="n"/>
      <c r="BO155" s="15" t="n"/>
      <c r="BP155" s="15" t="n"/>
      <c r="BQ155" s="15" t="n"/>
      <c r="BR155" s="15" t="n"/>
      <c r="BS155" s="15" t="n"/>
      <c r="BT155" s="15" t="n"/>
      <c r="BU155" s="15" t="n"/>
      <c r="BV155" s="15" t="n"/>
      <c r="BW155" s="15" t="n"/>
      <c r="BX155" s="15" t="n"/>
      <c r="BY155" s="15" t="n"/>
      <c r="BZ155" s="15" t="n"/>
      <c r="CA155" s="15" t="n"/>
      <c r="CB155" s="15" t="n"/>
      <c r="CC155" s="15" t="n"/>
      <c r="CD155" s="15" t="n"/>
      <c r="CE155" s="15" t="n"/>
      <c r="CF155" s="15" t="n"/>
      <c r="CG155" s="15" t="n"/>
      <c r="CH155" s="15" t="n"/>
      <c r="CI155" s="15" t="n"/>
      <c r="CJ155" s="15" t="n"/>
      <c r="CK155" s="15" t="n"/>
      <c r="CL155" s="15" t="n"/>
      <c r="CM155" s="15" t="n"/>
      <c r="CN155" s="15" t="n"/>
      <c r="CO155" s="15" t="n"/>
      <c r="CP155" s="15" t="n"/>
      <c r="CQ155" s="15" t="n"/>
      <c r="CR155" s="15" t="n"/>
      <c r="CS155" s="15" t="n"/>
      <c r="CT155" s="15" t="n"/>
      <c r="CU155" s="15" t="n"/>
      <c r="CV155" s="15" t="n"/>
      <c r="CW155" s="15" t="n"/>
      <c r="CX155" s="15" t="n"/>
      <c r="CY155" s="15" t="n"/>
      <c r="CZ155" s="15" t="n"/>
      <c r="DA155" s="15" t="n"/>
      <c r="DB155" s="15" t="n"/>
      <c r="DC155" s="15" t="n"/>
      <c r="DD155" s="15" t="n"/>
      <c r="DE155" s="15" t="n"/>
      <c r="DF155" s="15" t="n"/>
      <c r="DG155" s="15" t="n"/>
      <c r="DH155" s="15" t="n"/>
      <c r="DI155" s="15" t="n"/>
      <c r="DJ155" s="15" t="n"/>
      <c r="DK155" s="15" t="n"/>
      <c r="DL155" s="15" t="n"/>
    </row>
    <row r="156">
      <c r="A156" s="14" t="inlineStr">
        <is>
          <t>44(a)</t>
        </is>
      </c>
      <c r="B156" s="7" t="inlineStr">
        <is>
          <t>Reconveyance - mortgage consideration &lt;= Rs.1,000</t>
        </is>
      </c>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c r="AH156" s="15" t="n"/>
      <c r="AI156" s="15" t="n"/>
      <c r="AJ156" s="15" t="n"/>
      <c r="AK156" s="15" t="n"/>
      <c r="AL156" s="15" t="n"/>
      <c r="AM156" s="15" t="n"/>
      <c r="AN156" s="15" t="n"/>
      <c r="AO156" s="15" t="n"/>
      <c r="AP156" s="15" t="n"/>
      <c r="AQ156" s="15" t="n"/>
      <c r="AR156" s="15" t="n"/>
      <c r="AS156" s="15" t="n"/>
      <c r="AT156" s="15" t="n"/>
      <c r="AU156" s="15" t="n"/>
      <c r="AV156" s="16" t="inlineStr">
        <is>
          <t>I+C</t>
        </is>
      </c>
      <c r="AW156" s="15" t="n"/>
      <c r="AX156" s="15" t="n"/>
      <c r="AY156" s="15" t="n"/>
      <c r="AZ156" s="15" t="n"/>
      <c r="BA156" s="15" t="n"/>
      <c r="BB156" s="15" t="n"/>
      <c r="BC156" s="15" t="n"/>
      <c r="BD156" s="15" t="n"/>
      <c r="BE156" s="15" t="n"/>
      <c r="BF156" s="15" t="n"/>
      <c r="BG156" s="15" t="n"/>
      <c r="BH156" s="15" t="n"/>
      <c r="BI156" s="15" t="n"/>
      <c r="BJ156" s="15" t="n"/>
      <c r="BK156" s="15" t="n"/>
      <c r="BL156" s="15" t="n"/>
      <c r="BM156" s="15" t="n"/>
      <c r="BN156" s="15" t="n"/>
      <c r="BO156" s="15" t="n"/>
      <c r="BP156" s="15" t="n"/>
      <c r="BQ156" s="15" t="n"/>
      <c r="BR156" s="15" t="n"/>
      <c r="BS156" s="15" t="n"/>
      <c r="BT156" s="15" t="n"/>
      <c r="BU156" s="15" t="n"/>
      <c r="BV156" s="15" t="n"/>
      <c r="BW156" s="15" t="n"/>
      <c r="BX156" s="15" t="n"/>
      <c r="BY156" s="15" t="n"/>
      <c r="BZ156" s="15" t="n"/>
      <c r="CA156" s="15" t="n"/>
      <c r="CB156" s="15" t="n"/>
      <c r="CC156" s="15" t="n"/>
      <c r="CD156" s="15" t="n"/>
      <c r="CE156" s="15" t="n"/>
      <c r="CF156" s="15" t="n"/>
      <c r="CG156" s="15" t="n"/>
      <c r="CH156" s="15" t="n"/>
      <c r="CI156" s="15" t="n"/>
      <c r="CJ156" s="15" t="n"/>
      <c r="CK156" s="15" t="n"/>
      <c r="CL156" s="15" t="n"/>
      <c r="CM156" s="15" t="n"/>
      <c r="CN156" s="15" t="n"/>
      <c r="CO156" s="15" t="n"/>
      <c r="CP156" s="15" t="n"/>
      <c r="CQ156" s="15" t="n"/>
      <c r="CR156" s="15" t="n"/>
      <c r="CS156" s="15" t="n"/>
      <c r="CT156" s="15" t="n"/>
      <c r="CU156" s="15" t="n"/>
      <c r="CV156" s="15" t="n"/>
      <c r="CW156" s="15" t="n"/>
      <c r="CX156" s="15" t="n"/>
      <c r="CY156" s="15" t="n"/>
      <c r="CZ156" s="15" t="n"/>
      <c r="DA156" s="15" t="n"/>
      <c r="DB156" s="15" t="n"/>
      <c r="DC156" s="15" t="n"/>
      <c r="DD156" s="15" t="n"/>
      <c r="DE156" s="15" t="n"/>
      <c r="DF156" s="15" t="n"/>
      <c r="DG156" s="15" t="n"/>
      <c r="DH156" s="15" t="n"/>
      <c r="DI156" s="15" t="n"/>
      <c r="DJ156" s="15" t="n"/>
      <c r="DK156" s="15" t="n"/>
      <c r="DL156" s="15" t="n"/>
    </row>
    <row r="157">
      <c r="A157" s="14" t="inlineStr">
        <is>
          <t>44(b)</t>
        </is>
      </c>
      <c r="B157" s="7" t="inlineStr">
        <is>
          <t>Reconveyance - other</t>
        </is>
      </c>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c r="AH157" s="15" t="n"/>
      <c r="AI157" s="15" t="n"/>
      <c r="AJ157" s="15" t="n"/>
      <c r="AK157" s="15" t="n"/>
      <c r="AL157" s="15" t="n"/>
      <c r="AM157" s="15" t="n"/>
      <c r="AN157" s="15" t="n"/>
      <c r="AO157" s="15" t="n"/>
      <c r="AP157" s="15" t="n"/>
      <c r="AQ157" s="15" t="n"/>
      <c r="AR157" s="15" t="n"/>
      <c r="AS157" s="15" t="n"/>
      <c r="AT157" s="15" t="n"/>
      <c r="AU157" s="15" t="n"/>
      <c r="AV157" s="17" t="inlineStr">
        <is>
          <t>I</t>
        </is>
      </c>
      <c r="AW157" s="15" t="n"/>
      <c r="AX157" s="15" t="n"/>
      <c r="AY157" s="15" t="n"/>
      <c r="AZ157" s="15" t="n"/>
      <c r="BA157" s="15" t="n"/>
      <c r="BB157" s="15" t="n"/>
      <c r="BC157" s="15" t="n"/>
      <c r="BD157" s="15" t="n"/>
      <c r="BE157" s="15" t="n"/>
      <c r="BF157" s="15" t="n"/>
      <c r="BG157" s="15" t="n"/>
      <c r="BH157" s="15" t="n"/>
      <c r="BI157" s="15" t="n"/>
      <c r="BJ157" s="15" t="n"/>
      <c r="BK157" s="15" t="n"/>
      <c r="BL157" s="15" t="n"/>
      <c r="BM157" s="15" t="n"/>
      <c r="BN157" s="15" t="n"/>
      <c r="BO157" s="15" t="n"/>
      <c r="BP157" s="15" t="n"/>
      <c r="BQ157" s="15" t="n"/>
      <c r="BR157" s="15" t="n"/>
      <c r="BS157" s="15" t="n"/>
      <c r="BT157" s="15" t="n"/>
      <c r="BU157" s="15" t="n"/>
      <c r="BV157" s="15" t="n"/>
      <c r="BW157" s="15" t="n"/>
      <c r="BX157" s="15" t="n"/>
      <c r="BY157" s="15" t="n"/>
      <c r="BZ157" s="15" t="n"/>
      <c r="CA157" s="15" t="n"/>
      <c r="CB157" s="15" t="n"/>
      <c r="CC157" s="15" t="n"/>
      <c r="CD157" s="15" t="n"/>
      <c r="CE157" s="15" t="n"/>
      <c r="CF157" s="15" t="n"/>
      <c r="CG157" s="15" t="n"/>
      <c r="CH157" s="15" t="n"/>
      <c r="CI157" s="15" t="n"/>
      <c r="CJ157" s="15" t="n"/>
      <c r="CK157" s="15" t="n"/>
      <c r="CL157" s="15" t="n"/>
      <c r="CM157" s="15" t="n"/>
      <c r="CN157" s="15" t="n"/>
      <c r="CO157" s="15" t="n"/>
      <c r="CP157" s="15" t="n"/>
      <c r="CQ157" s="15" t="n"/>
      <c r="CR157" s="15" t="n"/>
      <c r="CS157" s="15" t="n"/>
      <c r="CT157" s="15" t="n"/>
      <c r="CU157" s="15" t="n"/>
      <c r="CV157" s="15" t="n"/>
      <c r="CW157" s="15" t="n"/>
      <c r="CX157" s="15" t="n"/>
      <c r="CY157" s="15" t="n"/>
      <c r="CZ157" s="15" t="n"/>
      <c r="DA157" s="15" t="n"/>
      <c r="DB157" s="15" t="n"/>
      <c r="DC157" s="15" t="n"/>
      <c r="DD157" s="15" t="n"/>
      <c r="DE157" s="15" t="n"/>
      <c r="DF157" s="15" t="n"/>
      <c r="DG157" s="15" t="n"/>
      <c r="DH157" s="15" t="n"/>
      <c r="DI157" s="15" t="n"/>
      <c r="DJ157" s="15" t="n"/>
      <c r="DK157" s="15" t="n"/>
      <c r="DL157" s="15" t="n"/>
    </row>
    <row r="158">
      <c r="A158" s="14" t="inlineStr">
        <is>
          <t>45(a)</t>
        </is>
      </c>
      <c r="B158" s="7" t="inlineStr">
        <is>
          <t>Release - not between family members</t>
        </is>
      </c>
      <c r="C158" s="15" t="n"/>
      <c r="D158" s="17" t="inlineStr">
        <is>
          <t>I</t>
        </is>
      </c>
      <c r="E158" s="19" t="inlineStr">
        <is>
          <t>C</t>
        </is>
      </c>
      <c r="F158" s="19" t="inlineStr">
        <is>
          <t>C</t>
        </is>
      </c>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c r="AH158" s="15" t="n"/>
      <c r="AI158" s="15" t="n"/>
      <c r="AJ158" s="15" t="n"/>
      <c r="AK158" s="15" t="n"/>
      <c r="AL158" s="15" t="n"/>
      <c r="AM158" s="15" t="n"/>
      <c r="AN158" s="15" t="n"/>
      <c r="AO158" s="15" t="n"/>
      <c r="AP158" s="15" t="n"/>
      <c r="AQ158" s="15" t="n"/>
      <c r="AR158" s="15" t="n"/>
      <c r="AS158" s="15" t="n"/>
      <c r="AT158" s="15" t="n"/>
      <c r="AU158" s="15" t="n"/>
      <c r="AV158" s="15" t="n"/>
      <c r="AW158" s="15" t="n"/>
      <c r="AX158" s="15" t="n"/>
      <c r="AY158" s="15" t="n"/>
      <c r="AZ158" s="15" t="n"/>
      <c r="BA158" s="15" t="n"/>
      <c r="BB158" s="15" t="n"/>
      <c r="BC158" s="15" t="n"/>
      <c r="BD158" s="15" t="n"/>
      <c r="BE158" s="15" t="n"/>
      <c r="BF158" s="15" t="n"/>
      <c r="BG158" s="15" t="n"/>
      <c r="BH158" s="15" t="n"/>
      <c r="BI158" s="15" t="n"/>
      <c r="BJ158" s="15" t="n"/>
      <c r="BK158" s="15" t="n"/>
      <c r="BL158" s="15" t="n"/>
      <c r="BM158" s="15" t="n"/>
      <c r="BN158" s="15" t="n"/>
      <c r="BO158" s="15" t="n"/>
      <c r="BP158" s="15" t="n"/>
      <c r="BQ158" s="15" t="n"/>
      <c r="BR158" s="15" t="n"/>
      <c r="BS158" s="15" t="n"/>
      <c r="BT158" s="15" t="n"/>
      <c r="BU158" s="15" t="n"/>
      <c r="BV158" s="15" t="n"/>
      <c r="BW158" s="15" t="n"/>
      <c r="BX158" s="15" t="n"/>
      <c r="BY158" s="15" t="n"/>
      <c r="BZ158" s="15" t="n"/>
      <c r="CA158" s="15" t="n"/>
      <c r="CB158" s="15" t="n"/>
      <c r="CC158" s="15" t="n"/>
      <c r="CD158" s="15" t="n"/>
      <c r="CE158" s="15" t="n"/>
      <c r="CF158" s="15" t="n"/>
      <c r="CG158" s="15" t="n"/>
      <c r="CH158" s="15" t="n"/>
      <c r="CI158" s="15" t="n"/>
      <c r="CJ158" s="15" t="n"/>
      <c r="CK158" s="15" t="n"/>
      <c r="CL158" s="15" t="n"/>
      <c r="CM158" s="15" t="n"/>
      <c r="CN158" s="15" t="n"/>
      <c r="CO158" s="15" t="n"/>
      <c r="CP158" s="15" t="n"/>
      <c r="CQ158" s="15" t="n"/>
      <c r="CR158" s="17" t="inlineStr">
        <is>
          <t>I</t>
        </is>
      </c>
      <c r="CS158" s="19" t="inlineStr">
        <is>
          <t>C</t>
        </is>
      </c>
      <c r="CT158" s="15" t="n"/>
      <c r="CU158" s="15" t="n"/>
      <c r="CV158" s="15" t="n"/>
      <c r="CW158" s="15" t="n"/>
      <c r="CX158" s="15" t="n"/>
      <c r="CY158" s="15" t="n"/>
      <c r="CZ158" s="15" t="n"/>
      <c r="DA158" s="15" t="n"/>
      <c r="DB158" s="15" t="n"/>
      <c r="DC158" s="15" t="n"/>
      <c r="DD158" s="15" t="n"/>
      <c r="DE158" s="15" t="n"/>
      <c r="DF158" s="15" t="n"/>
      <c r="DG158" s="15" t="n"/>
      <c r="DH158" s="15" t="n"/>
      <c r="DI158" s="15" t="n"/>
      <c r="DJ158" s="15" t="n"/>
      <c r="DK158" s="15" t="n"/>
      <c r="DL158" s="15" t="n"/>
    </row>
    <row r="159">
      <c r="A159" s="14" t="inlineStr">
        <is>
          <t>45(b)</t>
        </is>
      </c>
      <c r="B159" s="7" t="inlineStr">
        <is>
          <t>Release - between family members</t>
        </is>
      </c>
      <c r="C159" s="15" t="n"/>
      <c r="D159" s="17" t="inlineStr">
        <is>
          <t>I</t>
        </is>
      </c>
      <c r="E159" s="15" t="n"/>
      <c r="F159" s="15" t="n"/>
      <c r="G159" s="15" t="n"/>
      <c r="H159" s="15" t="n"/>
      <c r="I159" s="15" t="n"/>
      <c r="J159" s="15" t="n"/>
      <c r="K159" s="15" t="n"/>
      <c r="L159" s="19" t="inlineStr">
        <is>
          <t>C</t>
        </is>
      </c>
      <c r="M159" s="15" t="n"/>
      <c r="N159" s="15" t="n"/>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c r="AH159" s="15" t="n"/>
      <c r="AI159" s="15" t="n"/>
      <c r="AJ159" s="15" t="n"/>
      <c r="AK159" s="15" t="n"/>
      <c r="AL159" s="15" t="n"/>
      <c r="AM159" s="15" t="n"/>
      <c r="AN159" s="15" t="n"/>
      <c r="AO159" s="15" t="n"/>
      <c r="AP159" s="15" t="n"/>
      <c r="AQ159" s="15" t="n"/>
      <c r="AR159" s="15" t="n"/>
      <c r="AS159" s="15" t="n"/>
      <c r="AT159" s="15" t="n"/>
      <c r="AU159" s="15" t="n"/>
      <c r="AV159" s="15" t="n"/>
      <c r="AW159" s="15" t="n"/>
      <c r="AX159" s="15" t="n"/>
      <c r="AY159" s="15" t="n"/>
      <c r="AZ159" s="15" t="n"/>
      <c r="BA159" s="15" t="n"/>
      <c r="BB159" s="15" t="n"/>
      <c r="BC159" s="15" t="n"/>
      <c r="BD159" s="15" t="n"/>
      <c r="BE159" s="15" t="n"/>
      <c r="BF159" s="15" t="n"/>
      <c r="BG159" s="15" t="n"/>
      <c r="BH159" s="15" t="n"/>
      <c r="BI159" s="15" t="n"/>
      <c r="BJ159" s="15" t="n"/>
      <c r="BK159" s="15" t="n"/>
      <c r="BL159" s="15" t="n"/>
      <c r="BM159" s="15" t="n"/>
      <c r="BN159" s="15" t="n"/>
      <c r="BO159" s="15" t="n"/>
      <c r="BP159" s="15" t="n"/>
      <c r="BQ159" s="15" t="n"/>
      <c r="BR159" s="15" t="n"/>
      <c r="BS159" s="15" t="n"/>
      <c r="BT159" s="15" t="n"/>
      <c r="BU159" s="15" t="n"/>
      <c r="BV159" s="15" t="n"/>
      <c r="BW159" s="15" t="n"/>
      <c r="BX159" s="15" t="n"/>
      <c r="BY159" s="15" t="n"/>
      <c r="BZ159" s="15" t="n"/>
      <c r="CA159" s="15" t="n"/>
      <c r="CB159" s="15" t="n"/>
      <c r="CC159" s="15" t="n"/>
      <c r="CD159" s="15" t="n"/>
      <c r="CE159" s="15" t="n"/>
      <c r="CF159" s="15" t="n"/>
      <c r="CG159" s="15" t="n"/>
      <c r="CH159" s="15" t="n"/>
      <c r="CI159" s="15" t="n"/>
      <c r="CJ159" s="15" t="n"/>
      <c r="CK159" s="15" t="n"/>
      <c r="CL159" s="15" t="n"/>
      <c r="CM159" s="15" t="n"/>
      <c r="CN159" s="15" t="n"/>
      <c r="CO159" s="15" t="n"/>
      <c r="CP159" s="15" t="n"/>
      <c r="CQ159" s="15" t="n"/>
      <c r="CR159" s="17" t="inlineStr">
        <is>
          <t>I</t>
        </is>
      </c>
      <c r="CS159" s="15" t="n"/>
      <c r="CT159" s="15" t="n"/>
      <c r="CU159" s="15" t="n"/>
      <c r="CV159" s="15" t="n"/>
      <c r="CW159" s="15" t="n"/>
      <c r="CX159" s="15" t="n"/>
      <c r="CY159" s="15" t="n"/>
      <c r="CZ159" s="15" t="n"/>
      <c r="DA159" s="15" t="n"/>
      <c r="DB159" s="15" t="n"/>
      <c r="DC159" s="15" t="n"/>
      <c r="DD159" s="15" t="n"/>
      <c r="DE159" s="15" t="n"/>
      <c r="DF159" s="15" t="n"/>
      <c r="DG159" s="15" t="n"/>
      <c r="DH159" s="15" t="n"/>
      <c r="DI159" s="15" t="n"/>
      <c r="DJ159" s="15" t="n"/>
      <c r="DK159" s="15" t="n"/>
      <c r="DL159" s="15" t="n"/>
    </row>
    <row r="160">
      <c r="A160" s="14" t="inlineStr">
        <is>
          <t>45(c)</t>
        </is>
      </c>
      <c r="B160" s="7" t="inlineStr">
        <is>
          <t>Release of mortgage rights or lien</t>
        </is>
      </c>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c r="AH160" s="15" t="n"/>
      <c r="AI160" s="19" t="inlineStr">
        <is>
          <t>C</t>
        </is>
      </c>
      <c r="AJ160" s="15" t="n"/>
      <c r="AK160" s="15" t="n"/>
      <c r="AL160" s="15" t="n"/>
      <c r="AM160" s="15" t="n"/>
      <c r="AN160" s="15" t="n"/>
      <c r="AO160" s="15" t="n"/>
      <c r="AP160" s="15" t="n"/>
      <c r="AQ160" s="15" t="n"/>
      <c r="AR160" s="15" t="n"/>
      <c r="AS160" s="15" t="n"/>
      <c r="AT160" s="15" t="n"/>
      <c r="AU160" s="15" t="n"/>
      <c r="AV160" s="15" t="n"/>
      <c r="AW160" s="15" t="n"/>
      <c r="AX160" s="15" t="n"/>
      <c r="AY160" s="15" t="n"/>
      <c r="AZ160" s="15" t="n"/>
      <c r="BA160" s="15" t="n"/>
      <c r="BB160" s="15" t="n"/>
      <c r="BC160" s="15" t="n"/>
      <c r="BD160" s="15" t="n"/>
      <c r="BE160" s="15" t="n"/>
      <c r="BF160" s="15" t="n"/>
      <c r="BG160" s="15" t="n"/>
      <c r="BH160" s="15" t="n"/>
      <c r="BI160" s="15" t="n"/>
      <c r="BJ160" s="15" t="n"/>
      <c r="BK160" s="15" t="n"/>
      <c r="BL160" s="15" t="n"/>
      <c r="BM160" s="15" t="n"/>
      <c r="BN160" s="15" t="n"/>
      <c r="BO160" s="15" t="n"/>
      <c r="BP160" s="15" t="n"/>
      <c r="BQ160" s="15" t="n"/>
      <c r="BR160" s="15" t="n"/>
      <c r="BS160" s="15" t="n"/>
      <c r="BT160" s="15" t="n"/>
      <c r="BU160" s="15" t="n"/>
      <c r="BV160" s="15" t="n"/>
      <c r="BW160" s="15" t="n"/>
      <c r="BX160" s="15" t="n"/>
      <c r="BY160" s="15" t="n"/>
      <c r="BZ160" s="15" t="n"/>
      <c r="CA160" s="15" t="n"/>
      <c r="CB160" s="15" t="n"/>
      <c r="CC160" s="15" t="n"/>
      <c r="CD160" s="15" t="n"/>
      <c r="CE160" s="15" t="n"/>
      <c r="CF160" s="15" t="n"/>
      <c r="CG160" s="15" t="n"/>
      <c r="CH160" s="15" t="n"/>
      <c r="CI160" s="15" t="n"/>
      <c r="CJ160" s="15" t="n"/>
      <c r="CK160" s="15" t="n"/>
      <c r="CL160" s="15" t="n"/>
      <c r="CM160" s="15" t="n"/>
      <c r="CN160" s="15" t="n"/>
      <c r="CO160" s="15" t="n"/>
      <c r="CP160" s="15" t="n"/>
      <c r="CQ160" s="15" t="n"/>
      <c r="CR160" s="17" t="inlineStr">
        <is>
          <t>I</t>
        </is>
      </c>
      <c r="CS160" s="15" t="n"/>
      <c r="CT160" s="15" t="n"/>
      <c r="CU160" s="15" t="n"/>
      <c r="CV160" s="15" t="n"/>
      <c r="CW160" s="15" t="n"/>
      <c r="CX160" s="15" t="n"/>
      <c r="CY160" s="15" t="n"/>
      <c r="CZ160" s="15" t="n"/>
      <c r="DA160" s="15" t="n"/>
      <c r="DB160" s="15" t="n"/>
      <c r="DC160" s="15" t="n"/>
      <c r="DD160" s="15" t="n"/>
      <c r="DE160" s="15" t="n"/>
      <c r="DF160" s="15" t="n"/>
      <c r="DG160" s="15" t="n"/>
      <c r="DH160" s="15" t="n"/>
      <c r="DI160" s="15" t="n"/>
      <c r="DJ160" s="15" t="n"/>
      <c r="DK160" s="15" t="n"/>
      <c r="DL160" s="15" t="n"/>
    </row>
    <row r="161">
      <c r="A161" s="14" t="inlineStr">
        <is>
          <t>46</t>
        </is>
      </c>
      <c r="B161" s="7" t="inlineStr">
        <is>
          <t>Respondentia bond</t>
        </is>
      </c>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c r="AH161" s="15" t="n"/>
      <c r="AI161" s="15" t="n"/>
      <c r="AJ161" s="15" t="n"/>
      <c r="AK161" s="15" t="n"/>
      <c r="AL161" s="15" t="n"/>
      <c r="AM161" s="15" t="n"/>
      <c r="AN161" s="15" t="n"/>
      <c r="AO161" s="15" t="n"/>
      <c r="AP161" s="15" t="n"/>
      <c r="AQ161" s="15" t="n"/>
      <c r="AR161" s="15" t="n"/>
      <c r="AS161" s="15" t="n"/>
      <c r="AT161" s="15" t="n"/>
      <c r="AU161" s="15" t="n"/>
      <c r="AV161" s="15" t="n"/>
      <c r="AW161" s="15" t="n"/>
      <c r="AX161" s="15" t="n"/>
      <c r="AY161" s="15" t="n"/>
      <c r="AZ161" s="15" t="n"/>
      <c r="BA161" s="15" t="n"/>
      <c r="BB161" s="15" t="n"/>
      <c r="BC161" s="15" t="n"/>
      <c r="BD161" s="15" t="n"/>
      <c r="BE161" s="15" t="n"/>
      <c r="BF161" s="15" t="n"/>
      <c r="BG161" s="15" t="n"/>
      <c r="BH161" s="15" t="n"/>
      <c r="BI161" s="15" t="n"/>
      <c r="BJ161" s="15" t="n"/>
      <c r="BK161" s="15" t="n"/>
      <c r="BL161" s="15" t="n"/>
      <c r="BM161" s="15" t="n"/>
      <c r="BN161" s="15" t="n"/>
      <c r="BO161" s="15" t="n"/>
      <c r="BP161" s="15" t="n"/>
      <c r="BQ161" s="15" t="n"/>
      <c r="BR161" s="15" t="n"/>
      <c r="BS161" s="15" t="n"/>
      <c r="BT161" s="15" t="n"/>
      <c r="BU161" s="15" t="n"/>
      <c r="BV161" s="15" t="n"/>
      <c r="BW161" s="15" t="n"/>
      <c r="BX161" s="15" t="n"/>
      <c r="BY161" s="15" t="n"/>
      <c r="BZ161" s="15" t="n"/>
      <c r="CA161" s="15" t="n"/>
      <c r="CB161" s="15" t="n"/>
      <c r="CC161" s="15" t="n"/>
      <c r="CD161" s="15" t="n"/>
      <c r="CE161" s="15" t="n"/>
      <c r="CF161" s="15" t="n"/>
      <c r="CG161" s="15" t="n"/>
      <c r="CH161" s="15" t="n"/>
      <c r="CI161" s="15" t="n"/>
      <c r="CJ161" s="15" t="n"/>
      <c r="CK161" s="15" t="n"/>
      <c r="CL161" s="15" t="n"/>
      <c r="CM161" s="15" t="n"/>
      <c r="CN161" s="15" t="n"/>
      <c r="CO161" s="15" t="n"/>
      <c r="CP161" s="15" t="n"/>
      <c r="CQ161" s="15" t="n"/>
      <c r="CR161" s="15" t="n"/>
      <c r="CS161" s="15" t="n"/>
      <c r="CT161" s="15" t="n"/>
      <c r="CU161" s="15" t="n"/>
      <c r="CV161" s="15" t="n"/>
      <c r="CW161" s="15" t="n"/>
      <c r="CX161" s="15" t="n"/>
      <c r="CY161" s="19" t="inlineStr">
        <is>
          <t>C</t>
        </is>
      </c>
      <c r="CZ161" s="15" t="n"/>
      <c r="DA161" s="15" t="n"/>
      <c r="DB161" s="15" t="n"/>
      <c r="DC161" s="15" t="n"/>
      <c r="DD161" s="15" t="n"/>
      <c r="DE161" s="15" t="n"/>
      <c r="DF161" s="15" t="n"/>
      <c r="DG161" s="15" t="n"/>
      <c r="DH161" s="15" t="n"/>
      <c r="DI161" s="15" t="n"/>
      <c r="DJ161" s="15" t="n"/>
      <c r="DK161" s="15" t="n"/>
      <c r="DL161" s="15" t="n"/>
    </row>
    <row r="162">
      <c r="A162" s="14" t="inlineStr">
        <is>
          <t>47(a)</t>
        </is>
      </c>
      <c r="B162" s="7" t="inlineStr">
        <is>
          <t>Security bond - amount &lt;= Rs.1,000</t>
        </is>
      </c>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c r="AH162" s="15" t="n"/>
      <c r="AI162" s="15" t="n"/>
      <c r="AJ162" s="15" t="n"/>
      <c r="AK162" s="15" t="n"/>
      <c r="AL162" s="15" t="n"/>
      <c r="AM162" s="15" t="n"/>
      <c r="AN162" s="15" t="n"/>
      <c r="AO162" s="15" t="n"/>
      <c r="AP162" s="15" t="n"/>
      <c r="AQ162" s="15" t="n"/>
      <c r="AR162" s="15" t="n"/>
      <c r="AS162" s="15" t="n"/>
      <c r="AT162" s="15" t="n"/>
      <c r="AU162" s="15" t="n"/>
      <c r="AV162" s="15" t="n"/>
      <c r="AW162" s="15" t="n"/>
      <c r="AX162" s="15" t="n"/>
      <c r="AY162" s="15" t="n"/>
      <c r="AZ162" s="15" t="n"/>
      <c r="BA162" s="15" t="n"/>
      <c r="BB162" s="15" t="n"/>
      <c r="BC162" s="15" t="n"/>
      <c r="BD162" s="15" t="n"/>
      <c r="BE162" s="15" t="n"/>
      <c r="BF162" s="15" t="n"/>
      <c r="BG162" s="15" t="n"/>
      <c r="BH162" s="15" t="n"/>
      <c r="BI162" s="15" t="n"/>
      <c r="BJ162" s="15" t="n"/>
      <c r="BK162" s="15" t="n"/>
      <c r="BL162" s="15" t="n"/>
      <c r="BM162" s="15" t="n"/>
      <c r="BN162" s="15" t="n"/>
      <c r="BO162" s="15" t="n"/>
      <c r="BP162" s="15" t="n"/>
      <c r="BQ162" s="15" t="n"/>
      <c r="BR162" s="15" t="n"/>
      <c r="BS162" s="15" t="n"/>
      <c r="BT162" s="15" t="n"/>
      <c r="BU162" s="15" t="n"/>
      <c r="BV162" s="15" t="n"/>
      <c r="BW162" s="15" t="n"/>
      <c r="BX162" s="15" t="n"/>
      <c r="BY162" s="15" t="n"/>
      <c r="BZ162" s="15" t="n"/>
      <c r="CA162" s="15" t="n"/>
      <c r="CB162" s="15" t="n"/>
      <c r="CC162" s="15" t="n"/>
      <c r="CD162" s="15" t="n"/>
      <c r="CE162" s="15" t="n"/>
      <c r="CF162" s="15" t="n"/>
      <c r="CG162" s="15" t="n"/>
      <c r="CH162" s="15" t="n"/>
      <c r="CI162" s="15" t="n"/>
      <c r="CJ162" s="15" t="n"/>
      <c r="CK162" s="15" t="n"/>
      <c r="CL162" s="15" t="n"/>
      <c r="CM162" s="15" t="n"/>
      <c r="CN162" s="15" t="n"/>
      <c r="CO162" s="15" t="n"/>
      <c r="CP162" s="15" t="n"/>
      <c r="CQ162" s="15" t="n"/>
      <c r="CR162" s="15" t="n"/>
      <c r="CS162" s="15" t="n"/>
      <c r="CT162" s="15" t="n"/>
      <c r="CU162" s="15" t="n"/>
      <c r="CV162" s="15" t="n"/>
      <c r="CW162" s="15" t="n"/>
      <c r="CX162" s="15" t="n"/>
      <c r="CY162" s="16" t="inlineStr">
        <is>
          <t>I+C</t>
        </is>
      </c>
      <c r="CZ162" s="15" t="n"/>
      <c r="DA162" s="15" t="n"/>
      <c r="DB162" s="15" t="n"/>
      <c r="DC162" s="15" t="n"/>
      <c r="DD162" s="15" t="n"/>
      <c r="DE162" s="15" t="n"/>
      <c r="DF162" s="15" t="n"/>
      <c r="DG162" s="15" t="n"/>
      <c r="DH162" s="15" t="n"/>
      <c r="DI162" s="15" t="n"/>
      <c r="DJ162" s="15" t="n"/>
      <c r="DK162" s="17" t="inlineStr">
        <is>
          <t>I</t>
        </is>
      </c>
      <c r="DL162" s="15" t="n"/>
    </row>
    <row r="163">
      <c r="A163" s="14" t="inlineStr">
        <is>
          <t>47(b)</t>
        </is>
      </c>
      <c r="B163" s="7" t="inlineStr">
        <is>
          <t>Security bond - other</t>
        </is>
      </c>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c r="AH163" s="15" t="n"/>
      <c r="AI163" s="15" t="n"/>
      <c r="AJ163" s="15" t="n"/>
      <c r="AK163" s="15" t="n"/>
      <c r="AL163" s="15" t="n"/>
      <c r="AM163" s="15" t="n"/>
      <c r="AN163" s="15" t="n"/>
      <c r="AO163" s="15" t="n"/>
      <c r="AP163" s="15" t="n"/>
      <c r="AQ163" s="15" t="n"/>
      <c r="AR163" s="15" t="n"/>
      <c r="AS163" s="15" t="n"/>
      <c r="AT163" s="15" t="n"/>
      <c r="AU163" s="15" t="n"/>
      <c r="AV163" s="15" t="n"/>
      <c r="AW163" s="15" t="n"/>
      <c r="AX163" s="15" t="n"/>
      <c r="AY163" s="15" t="n"/>
      <c r="AZ163" s="15" t="n"/>
      <c r="BA163" s="15" t="n"/>
      <c r="BB163" s="15" t="n"/>
      <c r="BC163" s="15" t="n"/>
      <c r="BD163" s="15" t="n"/>
      <c r="BE163" s="15" t="n"/>
      <c r="BF163" s="15" t="n"/>
      <c r="BG163" s="15" t="n"/>
      <c r="BH163" s="15" t="n"/>
      <c r="BI163" s="15" t="n"/>
      <c r="BJ163" s="15" t="n"/>
      <c r="BK163" s="15" t="n"/>
      <c r="BL163" s="15" t="n"/>
      <c r="BM163" s="15" t="n"/>
      <c r="BN163" s="15" t="n"/>
      <c r="BO163" s="15" t="n"/>
      <c r="BP163" s="15" t="n"/>
      <c r="BQ163" s="15" t="n"/>
      <c r="BR163" s="15" t="n"/>
      <c r="BS163" s="15" t="n"/>
      <c r="BT163" s="15" t="n"/>
      <c r="BU163" s="15" t="n"/>
      <c r="BV163" s="15" t="n"/>
      <c r="BW163" s="15" t="n"/>
      <c r="BX163" s="15" t="n"/>
      <c r="BY163" s="15" t="n"/>
      <c r="BZ163" s="15" t="n"/>
      <c r="CA163" s="15" t="n"/>
      <c r="CB163" s="15" t="n"/>
      <c r="CC163" s="15" t="n"/>
      <c r="CD163" s="15" t="n"/>
      <c r="CE163" s="15" t="n"/>
      <c r="CF163" s="15" t="n"/>
      <c r="CG163" s="15" t="n"/>
      <c r="CH163" s="15" t="n"/>
      <c r="CI163" s="15" t="n"/>
      <c r="CJ163" s="15" t="n"/>
      <c r="CK163" s="15" t="n"/>
      <c r="CL163" s="15" t="n"/>
      <c r="CM163" s="15" t="n"/>
      <c r="CN163" s="15" t="n"/>
      <c r="CO163" s="15" t="n"/>
      <c r="CP163" s="15" t="n"/>
      <c r="CQ163" s="15" t="n"/>
      <c r="CR163" s="15" t="n"/>
      <c r="CS163" s="15" t="n"/>
      <c r="CT163" s="15" t="n"/>
      <c r="CU163" s="15" t="n"/>
      <c r="CV163" s="15" t="n"/>
      <c r="CW163" s="15" t="n"/>
      <c r="CX163" s="15" t="n"/>
      <c r="CY163" s="17" t="inlineStr">
        <is>
          <t>I</t>
        </is>
      </c>
      <c r="CZ163" s="15" t="n"/>
      <c r="DA163" s="15" t="n"/>
      <c r="DB163" s="15" t="n"/>
      <c r="DC163" s="15" t="n"/>
      <c r="DD163" s="15" t="n"/>
      <c r="DE163" s="15" t="n"/>
      <c r="DF163" s="15" t="n"/>
      <c r="DG163" s="15" t="n"/>
      <c r="DH163" s="15" t="n"/>
      <c r="DI163" s="15" t="n"/>
      <c r="DJ163" s="15" t="n"/>
      <c r="DK163" s="17" t="inlineStr">
        <is>
          <t>I</t>
        </is>
      </c>
      <c r="DL163" s="15" t="n"/>
    </row>
    <row r="164">
      <c r="A164" s="14" t="inlineStr">
        <is>
          <t>48-A(i)</t>
        </is>
      </c>
      <c r="B164" s="7" t="inlineStr">
        <is>
          <t>Settlement - not for distribution among family</t>
        </is>
      </c>
      <c r="C164" s="15" t="n"/>
      <c r="D164" s="17" t="inlineStr">
        <is>
          <t>I</t>
        </is>
      </c>
      <c r="E164" s="15" t="n"/>
      <c r="F164" s="19" t="inlineStr">
        <is>
          <t>C</t>
        </is>
      </c>
      <c r="G164" s="18" t="inlineStr">
        <is>
          <t>E</t>
        </is>
      </c>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c r="AH164" s="15" t="n"/>
      <c r="AI164" s="15" t="n"/>
      <c r="AJ164" s="15" t="n"/>
      <c r="AK164" s="15" t="n"/>
      <c r="AL164" s="15" t="n"/>
      <c r="AM164" s="15" t="n"/>
      <c r="AN164" s="15" t="n"/>
      <c r="AO164" s="15" t="n"/>
      <c r="AP164" s="15" t="n"/>
      <c r="AQ164" s="15" t="n"/>
      <c r="AR164" s="15" t="n"/>
      <c r="AS164" s="15" t="n"/>
      <c r="AT164" s="15" t="n"/>
      <c r="AU164" s="15" t="n"/>
      <c r="AV164" s="15" t="n"/>
      <c r="AW164" s="15" t="n"/>
      <c r="AX164" s="15" t="n"/>
      <c r="AY164" s="15" t="n"/>
      <c r="AZ164" s="15" t="n"/>
      <c r="BA164" s="15" t="n"/>
      <c r="BB164" s="15" t="n"/>
      <c r="BC164" s="15" t="n"/>
      <c r="BD164" s="15" t="n"/>
      <c r="BE164" s="15" t="n"/>
      <c r="BF164" s="15" t="n"/>
      <c r="BG164" s="15" t="n"/>
      <c r="BH164" s="15" t="n"/>
      <c r="BI164" s="15" t="n"/>
      <c r="BJ164" s="15" t="n"/>
      <c r="BK164" s="15" t="n"/>
      <c r="BL164" s="15" t="n"/>
      <c r="BM164" s="15" t="n"/>
      <c r="BN164" s="15" t="n"/>
      <c r="BO164" s="15" t="n"/>
      <c r="BP164" s="15" t="n"/>
      <c r="BQ164" s="15" t="n"/>
      <c r="BR164" s="15" t="n"/>
      <c r="BS164" s="15" t="n"/>
      <c r="BT164" s="15" t="n"/>
      <c r="BU164" s="15" t="n"/>
      <c r="BV164" s="15" t="n"/>
      <c r="BW164" s="15" t="n"/>
      <c r="BX164" s="15" t="n"/>
      <c r="BY164" s="15" t="n"/>
      <c r="BZ164" s="15" t="n"/>
      <c r="CA164" s="15" t="n"/>
      <c r="CB164" s="15" t="n"/>
      <c r="CC164" s="15" t="n"/>
      <c r="CD164" s="15" t="n"/>
      <c r="CE164" s="15" t="n"/>
      <c r="CF164" s="15" t="n"/>
      <c r="CG164" s="15" t="n"/>
      <c r="CH164" s="15" t="n"/>
      <c r="CI164" s="15" t="n"/>
      <c r="CJ164" s="15" t="n"/>
      <c r="CK164" s="15" t="n"/>
      <c r="CL164" s="15" t="n"/>
      <c r="CM164" s="17" t="inlineStr">
        <is>
          <t>I</t>
        </is>
      </c>
      <c r="CN164" s="17" t="inlineStr">
        <is>
          <t>I</t>
        </is>
      </c>
      <c r="CO164" s="18" t="inlineStr">
        <is>
          <t>E</t>
        </is>
      </c>
      <c r="CP164" s="18" t="inlineStr">
        <is>
          <t>E</t>
        </is>
      </c>
      <c r="CQ164" s="15" t="n"/>
      <c r="CR164" s="15" t="n"/>
      <c r="CS164" s="15" t="n"/>
      <c r="CT164" s="15" t="n"/>
      <c r="CU164" s="15" t="n"/>
      <c r="CV164" s="15" t="n"/>
      <c r="CW164" s="15" t="n"/>
      <c r="CX164" s="15" t="n"/>
      <c r="CY164" s="15" t="n"/>
      <c r="CZ164" s="15" t="n"/>
      <c r="DA164" s="15" t="n"/>
      <c r="DB164" s="15" t="n"/>
      <c r="DC164" s="15" t="n"/>
      <c r="DD164" s="15" t="n"/>
      <c r="DE164" s="15" t="n"/>
      <c r="DF164" s="15" t="n"/>
      <c r="DG164" s="15" t="n"/>
      <c r="DH164" s="15" t="n"/>
      <c r="DI164" s="15" t="n"/>
      <c r="DJ164" s="15" t="n"/>
      <c r="DK164" s="15" t="n"/>
      <c r="DL164" s="15" t="n"/>
    </row>
    <row r="165">
      <c r="A165" s="14" t="inlineStr">
        <is>
          <t>48-A(ii)</t>
        </is>
      </c>
      <c r="B165" s="7" t="inlineStr">
        <is>
          <t>Settlement - distribution among family</t>
        </is>
      </c>
      <c r="C165" s="15" t="n"/>
      <c r="D165" s="17" t="inlineStr">
        <is>
          <t>I</t>
        </is>
      </c>
      <c r="E165" s="15" t="n"/>
      <c r="F165" s="15" t="n"/>
      <c r="G165" s="15" t="n"/>
      <c r="H165" s="15" t="n"/>
      <c r="I165" s="15" t="n"/>
      <c r="J165" s="15" t="n"/>
      <c r="K165" s="15" t="n"/>
      <c r="L165" s="19" t="inlineStr">
        <is>
          <t>C</t>
        </is>
      </c>
      <c r="M165" s="15" t="n"/>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c r="AH165" s="15" t="n"/>
      <c r="AI165" s="15" t="n"/>
      <c r="AJ165" s="15" t="n"/>
      <c r="AK165" s="15" t="n"/>
      <c r="AL165" s="15" t="n"/>
      <c r="AM165" s="15" t="n"/>
      <c r="AN165" s="15" t="n"/>
      <c r="AO165" s="15" t="n"/>
      <c r="AP165" s="15" t="n"/>
      <c r="AQ165" s="15" t="n"/>
      <c r="AR165" s="15" t="n"/>
      <c r="AS165" s="15" t="n"/>
      <c r="AT165" s="15" t="n"/>
      <c r="AU165" s="15" t="n"/>
      <c r="AV165" s="15" t="n"/>
      <c r="AW165" s="15" t="n"/>
      <c r="AX165" s="15" t="n"/>
      <c r="AY165" s="15" t="n"/>
      <c r="AZ165" s="15" t="n"/>
      <c r="BA165" s="15" t="n"/>
      <c r="BB165" s="15" t="n"/>
      <c r="BC165" s="15" t="n"/>
      <c r="BD165" s="15" t="n"/>
      <c r="BE165" s="15" t="n"/>
      <c r="BF165" s="15" t="n"/>
      <c r="BG165" s="15" t="n"/>
      <c r="BH165" s="15" t="n"/>
      <c r="BI165" s="15" t="n"/>
      <c r="BJ165" s="15" t="n"/>
      <c r="BK165" s="15" t="n"/>
      <c r="BL165" s="15" t="n"/>
      <c r="BM165" s="15" t="n"/>
      <c r="BN165" s="15" t="n"/>
      <c r="BO165" s="15" t="n"/>
      <c r="BP165" s="15" t="n"/>
      <c r="BQ165" s="15" t="n"/>
      <c r="BR165" s="15" t="n"/>
      <c r="BS165" s="15" t="n"/>
      <c r="BT165" s="15" t="n"/>
      <c r="BU165" s="15" t="n"/>
      <c r="BV165" s="15" t="n"/>
      <c r="BW165" s="15" t="n"/>
      <c r="BX165" s="15" t="n"/>
      <c r="BY165" s="15" t="n"/>
      <c r="BZ165" s="15" t="n"/>
      <c r="CA165" s="15" t="n"/>
      <c r="CB165" s="15" t="n"/>
      <c r="CC165" s="15" t="n"/>
      <c r="CD165" s="15" t="n"/>
      <c r="CE165" s="15" t="n"/>
      <c r="CF165" s="15" t="n"/>
      <c r="CG165" s="15" t="n"/>
      <c r="CH165" s="15" t="n"/>
      <c r="CI165" s="15" t="n"/>
      <c r="CJ165" s="15" t="n"/>
      <c r="CK165" s="15" t="n"/>
      <c r="CL165" s="15" t="n"/>
      <c r="CM165" s="17" t="inlineStr">
        <is>
          <t>I</t>
        </is>
      </c>
      <c r="CN165" s="17" t="inlineStr">
        <is>
          <t>I</t>
        </is>
      </c>
      <c r="CO165" s="15" t="n"/>
      <c r="CP165" s="18" t="inlineStr">
        <is>
          <t>E</t>
        </is>
      </c>
      <c r="CQ165" s="15" t="n"/>
      <c r="CR165" s="15" t="n"/>
      <c r="CS165" s="15" t="n"/>
      <c r="CT165" s="15" t="n"/>
      <c r="CU165" s="15" t="n"/>
      <c r="CV165" s="15" t="n"/>
      <c r="CW165" s="15" t="n"/>
      <c r="CX165" s="15" t="n"/>
      <c r="CY165" s="15" t="n"/>
      <c r="CZ165" s="15" t="n"/>
      <c r="DA165" s="15" t="n"/>
      <c r="DB165" s="15" t="n"/>
      <c r="DC165" s="15" t="n"/>
      <c r="DD165" s="15" t="n"/>
      <c r="DE165" s="15" t="n"/>
      <c r="DF165" s="15" t="n"/>
      <c r="DG165" s="15" t="n"/>
      <c r="DH165" s="15" t="n"/>
      <c r="DI165" s="15" t="n"/>
      <c r="DJ165" s="15" t="n"/>
      <c r="DK165" s="15" t="n"/>
      <c r="DL165" s="15" t="n"/>
    </row>
    <row r="166">
      <c r="A166" s="14" t="inlineStr">
        <is>
          <t>48-B</t>
        </is>
      </c>
      <c r="B166" s="7" t="inlineStr">
        <is>
          <t>Revocation of settlement</t>
        </is>
      </c>
      <c r="C166" s="15" t="n"/>
      <c r="D166" s="15" t="n"/>
      <c r="E166" s="15" t="n"/>
      <c r="F166" s="19" t="inlineStr">
        <is>
          <t>C</t>
        </is>
      </c>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c r="AH166" s="15" t="n"/>
      <c r="AI166" s="15" t="n"/>
      <c r="AJ166" s="15" t="n"/>
      <c r="AK166" s="15" t="n"/>
      <c r="AL166" s="15" t="n"/>
      <c r="AM166" s="15" t="n"/>
      <c r="AN166" s="15" t="n"/>
      <c r="AO166" s="15" t="n"/>
      <c r="AP166" s="15" t="n"/>
      <c r="AQ166" s="15" t="n"/>
      <c r="AR166" s="15" t="n"/>
      <c r="AS166" s="15" t="n"/>
      <c r="AT166" s="15" t="n"/>
      <c r="AU166" s="15" t="n"/>
      <c r="AV166" s="15" t="n"/>
      <c r="AW166" s="15" t="n"/>
      <c r="AX166" s="15" t="n"/>
      <c r="AY166" s="15" t="n"/>
      <c r="AZ166" s="15" t="n"/>
      <c r="BA166" s="15" t="n"/>
      <c r="BB166" s="15" t="n"/>
      <c r="BC166" s="15" t="n"/>
      <c r="BD166" s="15" t="n"/>
      <c r="BE166" s="15" t="n"/>
      <c r="BF166" s="15" t="n"/>
      <c r="BG166" s="15" t="n"/>
      <c r="BH166" s="15" t="n"/>
      <c r="BI166" s="15" t="n"/>
      <c r="BJ166" s="15" t="n"/>
      <c r="BK166" s="15" t="n"/>
      <c r="BL166" s="15" t="n"/>
      <c r="BM166" s="15" t="n"/>
      <c r="BN166" s="15" t="n"/>
      <c r="BO166" s="15" t="n"/>
      <c r="BP166" s="15" t="n"/>
      <c r="BQ166" s="15" t="n"/>
      <c r="BR166" s="15" t="n"/>
      <c r="BS166" s="15" t="n"/>
      <c r="BT166" s="15" t="n"/>
      <c r="BU166" s="15" t="n"/>
      <c r="BV166" s="15" t="n"/>
      <c r="BW166" s="15" t="n"/>
      <c r="BX166" s="15" t="n"/>
      <c r="BY166" s="15" t="n"/>
      <c r="BZ166" s="15" t="n"/>
      <c r="CA166" s="15" t="n"/>
      <c r="CB166" s="15" t="n"/>
      <c r="CC166" s="15" t="n"/>
      <c r="CD166" s="15" t="n"/>
      <c r="CE166" s="15" t="n"/>
      <c r="CF166" s="15" t="n"/>
      <c r="CG166" s="15" t="n"/>
      <c r="CH166" s="15" t="n"/>
      <c r="CI166" s="15" t="n"/>
      <c r="CJ166" s="15" t="n"/>
      <c r="CK166" s="15" t="n"/>
      <c r="CL166" s="15" t="n"/>
      <c r="CM166" s="17" t="inlineStr">
        <is>
          <t>I</t>
        </is>
      </c>
      <c r="CN166" s="15" t="n"/>
      <c r="CO166" s="15" t="n"/>
      <c r="CP166" s="15" t="n"/>
      <c r="CQ166" s="15" t="n"/>
      <c r="CR166" s="15" t="n"/>
      <c r="CS166" s="15" t="n"/>
      <c r="CT166" s="15" t="n"/>
      <c r="CU166" s="15" t="n"/>
      <c r="CV166" s="15" t="n"/>
      <c r="CW166" s="15" t="n"/>
      <c r="CX166" s="15" t="n"/>
      <c r="CY166" s="15" t="n"/>
      <c r="CZ166" s="15" t="n"/>
      <c r="DA166" s="15" t="n"/>
      <c r="DB166" s="15" t="n"/>
      <c r="DC166" s="15" t="n"/>
      <c r="DD166" s="15" t="n"/>
      <c r="DE166" s="15" t="n"/>
      <c r="DF166" s="15" t="n"/>
      <c r="DG166" s="15" t="n"/>
      <c r="DH166" s="15" t="n"/>
      <c r="DI166" s="15" t="n"/>
      <c r="DJ166" s="15" t="n"/>
      <c r="DK166" s="15" t="n"/>
      <c r="DL166" s="15" t="n"/>
    </row>
    <row r="167">
      <c r="A167" s="14" t="inlineStr">
        <is>
          <t>49</t>
        </is>
      </c>
      <c r="B167" s="7" t="inlineStr">
        <is>
          <t>Share warrant to bearer</t>
        </is>
      </c>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c r="AH167" s="15" t="n"/>
      <c r="AI167" s="15" t="n"/>
      <c r="AJ167" s="15" t="n"/>
      <c r="AK167" s="15" t="n"/>
      <c r="AL167" s="15" t="n"/>
      <c r="AM167" s="15" t="n"/>
      <c r="AN167" s="15" t="n"/>
      <c r="AO167" s="15" t="n"/>
      <c r="AP167" s="15" t="n"/>
      <c r="AQ167" s="15" t="n"/>
      <c r="AR167" s="15" t="n"/>
      <c r="AS167" s="15" t="n"/>
      <c r="AT167" s="15" t="n"/>
      <c r="AU167" s="15" t="n"/>
      <c r="AV167" s="15" t="n"/>
      <c r="AW167" s="15" t="n"/>
      <c r="AX167" s="15" t="n"/>
      <c r="AY167" s="15" t="n"/>
      <c r="AZ167" s="15" t="n"/>
      <c r="BA167" s="15" t="n"/>
      <c r="BB167" s="15" t="n"/>
      <c r="BC167" s="15" t="n"/>
      <c r="BD167" s="15" t="n"/>
      <c r="BE167" s="15" t="n"/>
      <c r="BF167" s="15" t="n"/>
      <c r="BG167" s="15" t="n"/>
      <c r="BH167" s="15" t="n"/>
      <c r="BI167" s="15" t="n"/>
      <c r="BJ167" s="15" t="n"/>
      <c r="BK167" s="15" t="n"/>
      <c r="BL167" s="15" t="n"/>
      <c r="BM167" s="15" t="n"/>
      <c r="BN167" s="15" t="n"/>
      <c r="BO167" s="15" t="n"/>
      <c r="BP167" s="15" t="n"/>
      <c r="BQ167" s="15" t="n"/>
      <c r="BR167" s="15" t="n"/>
      <c r="BS167" s="15" t="n"/>
      <c r="BT167" s="15" t="n"/>
      <c r="BU167" s="15" t="n"/>
      <c r="BV167" s="15" t="n"/>
      <c r="BW167" s="15" t="n"/>
      <c r="BX167" s="15" t="n"/>
      <c r="BY167" s="15" t="n"/>
      <c r="BZ167" s="15" t="n"/>
      <c r="CA167" s="15" t="n"/>
      <c r="CB167" s="15" t="n"/>
      <c r="CC167" s="15" t="n"/>
      <c r="CD167" s="15" t="n"/>
      <c r="CE167" s="15" t="n"/>
      <c r="CF167" s="15" t="n"/>
      <c r="CG167" s="19" t="inlineStr">
        <is>
          <t>C</t>
        </is>
      </c>
      <c r="CH167" s="15" t="n"/>
      <c r="CI167" s="15" t="n"/>
      <c r="CJ167" s="15" t="n"/>
      <c r="CK167" s="15" t="n"/>
      <c r="CL167" s="15" t="n"/>
      <c r="CM167" s="15" t="n"/>
      <c r="CN167" s="15" t="n"/>
      <c r="CO167" s="15" t="n"/>
      <c r="CP167" s="15" t="n"/>
      <c r="CQ167" s="15" t="n"/>
      <c r="CR167" s="15" t="n"/>
      <c r="CS167" s="15" t="n"/>
      <c r="CT167" s="15" t="n"/>
      <c r="CU167" s="15" t="n"/>
      <c r="CV167" s="15" t="n"/>
      <c r="CW167" s="15" t="n"/>
      <c r="CX167" s="15" t="n"/>
      <c r="CY167" s="15" t="n"/>
      <c r="CZ167" s="15" t="n"/>
      <c r="DA167" s="15" t="n"/>
      <c r="DB167" s="15" t="n"/>
      <c r="DC167" s="15" t="n"/>
      <c r="DD167" s="15" t="n"/>
      <c r="DE167" s="15" t="n"/>
      <c r="DF167" s="15" t="n"/>
      <c r="DG167" s="15" t="n"/>
      <c r="DH167" s="15" t="n"/>
      <c r="DI167" s="15" t="n"/>
      <c r="DJ167" s="15" t="n"/>
      <c r="DK167" s="15" t="n"/>
      <c r="DL167" s="15" t="n"/>
    </row>
    <row r="168">
      <c r="A168" s="14" t="inlineStr">
        <is>
          <t>50</t>
        </is>
      </c>
      <c r="B168" s="7" t="inlineStr">
        <is>
          <t>Shipping order</t>
        </is>
      </c>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c r="AH168" s="15" t="n"/>
      <c r="AI168" s="15" t="n"/>
      <c r="AJ168" s="15" t="n"/>
      <c r="AK168" s="15" t="n"/>
      <c r="AL168" s="15" t="n"/>
      <c r="AM168" s="15" t="n"/>
      <c r="AN168" s="15" t="n"/>
      <c r="AO168" s="15" t="n"/>
      <c r="AP168" s="15" t="n"/>
      <c r="AQ168" s="15" t="n"/>
      <c r="AR168" s="15" t="n"/>
      <c r="AS168" s="15" t="n"/>
      <c r="AT168" s="15" t="n"/>
      <c r="AU168" s="15" t="n"/>
      <c r="AV168" s="15" t="n"/>
      <c r="AW168" s="15" t="n"/>
      <c r="AX168" s="15" t="n"/>
      <c r="AY168" s="15" t="n"/>
      <c r="AZ168" s="15" t="n"/>
      <c r="BA168" s="15" t="n"/>
      <c r="BB168" s="15" t="n"/>
      <c r="BC168" s="15" t="n"/>
      <c r="BD168" s="15" t="n"/>
      <c r="BE168" s="15" t="n"/>
      <c r="BF168" s="15" t="n"/>
      <c r="BG168" s="15" t="n"/>
      <c r="BH168" s="15" t="n"/>
      <c r="BI168" s="15" t="n"/>
      <c r="BJ168" s="15" t="n"/>
      <c r="BK168" s="15" t="n"/>
      <c r="BL168" s="15" t="n"/>
      <c r="BM168" s="15" t="n"/>
      <c r="BN168" s="15" t="n"/>
      <c r="BO168" s="15" t="n"/>
      <c r="BP168" s="15" t="n"/>
      <c r="BQ168" s="15" t="n"/>
      <c r="BR168" s="15" t="n"/>
      <c r="BS168" s="15" t="n"/>
      <c r="BT168" s="15" t="n"/>
      <c r="BU168" s="15" t="n"/>
      <c r="BV168" s="15" t="n"/>
      <c r="BW168" s="15" t="n"/>
      <c r="BX168" s="15" t="n"/>
      <c r="BY168" s="15" t="n"/>
      <c r="BZ168" s="15" t="n"/>
      <c r="CA168" s="15" t="n"/>
      <c r="CB168" s="15" t="n"/>
      <c r="CC168" s="15" t="n"/>
      <c r="CD168" s="15" t="n"/>
      <c r="CE168" s="15" t="n"/>
      <c r="CF168" s="15" t="n"/>
      <c r="CG168" s="15" t="n"/>
      <c r="CH168" s="15" t="n"/>
      <c r="CI168" s="15" t="n"/>
      <c r="CJ168" s="15" t="n"/>
      <c r="CK168" s="15" t="n"/>
      <c r="CL168" s="15" t="n"/>
      <c r="CM168" s="15" t="n"/>
      <c r="CN168" s="15" t="n"/>
      <c r="CO168" s="15" t="n"/>
      <c r="CP168" s="15" t="n"/>
      <c r="CQ168" s="15" t="n"/>
      <c r="CR168" s="15" t="n"/>
      <c r="CS168" s="15" t="n"/>
      <c r="CT168" s="15" t="n"/>
      <c r="CU168" s="15" t="n"/>
      <c r="CV168" s="15" t="n"/>
      <c r="CW168" s="15" t="n"/>
      <c r="CX168" s="15" t="n"/>
      <c r="CY168" s="15" t="n"/>
      <c r="CZ168" s="15" t="n"/>
      <c r="DA168" s="15" t="n"/>
      <c r="DB168" s="15" t="n"/>
      <c r="DC168" s="15" t="n"/>
      <c r="DD168" s="15" t="n"/>
      <c r="DE168" s="15" t="n"/>
      <c r="DF168" s="15" t="n"/>
      <c r="DG168" s="15" t="n"/>
      <c r="DH168" s="15" t="n"/>
      <c r="DI168" s="15" t="n"/>
      <c r="DJ168" s="15" t="n"/>
      <c r="DK168" s="15" t="n"/>
      <c r="DL168" s="15" t="n"/>
    </row>
    <row r="169">
      <c r="A169" s="14" t="inlineStr">
        <is>
          <t>51(a)</t>
        </is>
      </c>
      <c r="B169" s="7" t="inlineStr">
        <is>
          <t>Surrender of lease - lease duty &lt;= Rs.22.50</t>
        </is>
      </c>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c r="AH169" s="15" t="n"/>
      <c r="AI169" s="15" t="n"/>
      <c r="AJ169" s="15" t="n"/>
      <c r="AK169" s="15" t="n"/>
      <c r="AL169" s="15" t="n"/>
      <c r="AM169" s="15" t="n"/>
      <c r="AN169" s="15" t="n"/>
      <c r="AO169" s="15" t="n"/>
      <c r="AP169" s="15" t="n"/>
      <c r="AQ169" s="15" t="n"/>
      <c r="AR169" s="15" t="n"/>
      <c r="AS169" s="15" t="n"/>
      <c r="AT169" s="15" t="n"/>
      <c r="AU169" s="15" t="n"/>
      <c r="AV169" s="15" t="n"/>
      <c r="AW169" s="15" t="n"/>
      <c r="AX169" s="15" t="n"/>
      <c r="AY169" s="15" t="n"/>
      <c r="AZ169" s="15" t="n"/>
      <c r="BA169" s="15" t="n"/>
      <c r="BB169" s="15" t="n"/>
      <c r="BC169" s="15" t="n"/>
      <c r="BD169" s="15" t="n"/>
      <c r="BE169" s="15" t="n"/>
      <c r="BF169" s="15" t="n"/>
      <c r="BG169" s="15" t="n"/>
      <c r="BH169" s="15" t="n"/>
      <c r="BI169" s="16" t="inlineStr">
        <is>
          <t>I+C</t>
        </is>
      </c>
      <c r="BJ169" s="15" t="n"/>
      <c r="BK169" s="15" t="n"/>
      <c r="BL169" s="15" t="n"/>
      <c r="BM169" s="15" t="n"/>
      <c r="BN169" s="15" t="n"/>
      <c r="BO169" s="15" t="n"/>
      <c r="BP169" s="15" t="n"/>
      <c r="BQ169" s="15" t="n"/>
      <c r="BR169" s="15" t="n"/>
      <c r="BS169" s="15" t="n"/>
      <c r="BT169" s="15" t="n"/>
      <c r="BU169" s="15" t="n"/>
      <c r="BV169" s="15" t="n"/>
      <c r="BW169" s="15" t="n"/>
      <c r="BX169" s="15" t="n"/>
      <c r="BY169" s="15" t="n"/>
      <c r="BZ169" s="15" t="n"/>
      <c r="CA169" s="15" t="n"/>
      <c r="CB169" s="15" t="n"/>
      <c r="CC169" s="15" t="n"/>
      <c r="CD169" s="15" t="n"/>
      <c r="CE169" s="15" t="n"/>
      <c r="CF169" s="15" t="n"/>
      <c r="CG169" s="15" t="n"/>
      <c r="CH169" s="15" t="n"/>
      <c r="CI169" s="15" t="n"/>
      <c r="CJ169" s="15" t="n"/>
      <c r="CK169" s="15" t="n"/>
      <c r="CL169" s="15" t="n"/>
      <c r="CM169" s="15" t="n"/>
      <c r="CN169" s="15" t="n"/>
      <c r="CO169" s="15" t="n"/>
      <c r="CP169" s="15" t="n"/>
      <c r="CQ169" s="15" t="n"/>
      <c r="CR169" s="15" t="n"/>
      <c r="CS169" s="15" t="n"/>
      <c r="CT169" s="15" t="n"/>
      <c r="CU169" s="15" t="n"/>
      <c r="CV169" s="15" t="n"/>
      <c r="CW169" s="15" t="n"/>
      <c r="CX169" s="15" t="n"/>
      <c r="CY169" s="15" t="n"/>
      <c r="CZ169" s="15" t="n"/>
      <c r="DA169" s="15" t="n"/>
      <c r="DB169" s="15" t="n"/>
      <c r="DC169" s="15" t="n"/>
      <c r="DD169" s="15" t="n"/>
      <c r="DE169" s="15" t="n"/>
      <c r="DF169" s="15" t="n"/>
      <c r="DG169" s="15" t="n"/>
      <c r="DH169" s="15" t="n"/>
      <c r="DI169" s="15" t="n"/>
      <c r="DJ169" s="15" t="n"/>
      <c r="DK169" s="15" t="n"/>
      <c r="DL169" s="15" t="n"/>
    </row>
    <row r="170">
      <c r="A170" s="14" t="inlineStr">
        <is>
          <t>51(b)</t>
        </is>
      </c>
      <c r="B170" s="7" t="inlineStr">
        <is>
          <t>Surrender of lease - other</t>
        </is>
      </c>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c r="AH170" s="15" t="n"/>
      <c r="AI170" s="15" t="n"/>
      <c r="AJ170" s="15" t="n"/>
      <c r="AK170" s="15" t="n"/>
      <c r="AL170" s="15" t="n"/>
      <c r="AM170" s="15" t="n"/>
      <c r="AN170" s="15" t="n"/>
      <c r="AO170" s="15" t="n"/>
      <c r="AP170" s="15" t="n"/>
      <c r="AQ170" s="15" t="n"/>
      <c r="AR170" s="15" t="n"/>
      <c r="AS170" s="15" t="n"/>
      <c r="AT170" s="15" t="n"/>
      <c r="AU170" s="15" t="n"/>
      <c r="AV170" s="15" t="n"/>
      <c r="AW170" s="15" t="n"/>
      <c r="AX170" s="15" t="n"/>
      <c r="AY170" s="15" t="n"/>
      <c r="AZ170" s="15" t="n"/>
      <c r="BA170" s="15" t="n"/>
      <c r="BB170" s="15" t="n"/>
      <c r="BC170" s="15" t="n"/>
      <c r="BD170" s="15" t="n"/>
      <c r="BE170" s="15" t="n"/>
      <c r="BF170" s="15" t="n"/>
      <c r="BG170" s="15" t="n"/>
      <c r="BH170" s="15" t="n"/>
      <c r="BI170" s="17" t="inlineStr">
        <is>
          <t>I</t>
        </is>
      </c>
      <c r="BJ170" s="15" t="n"/>
      <c r="BK170" s="15" t="n"/>
      <c r="BL170" s="15" t="n"/>
      <c r="BM170" s="15" t="n"/>
      <c r="BN170" s="15" t="n"/>
      <c r="BO170" s="15" t="n"/>
      <c r="BP170" s="15" t="n"/>
      <c r="BQ170" s="15" t="n"/>
      <c r="BR170" s="15" t="n"/>
      <c r="BS170" s="15" t="n"/>
      <c r="BT170" s="15" t="n"/>
      <c r="BU170" s="15" t="n"/>
      <c r="BV170" s="15" t="n"/>
      <c r="BW170" s="15" t="n"/>
      <c r="BX170" s="15" t="n"/>
      <c r="BY170" s="15" t="n"/>
      <c r="BZ170" s="15" t="n"/>
      <c r="CA170" s="15" t="n"/>
      <c r="CB170" s="15" t="n"/>
      <c r="CC170" s="15" t="n"/>
      <c r="CD170" s="15" t="n"/>
      <c r="CE170" s="15" t="n"/>
      <c r="CF170" s="15" t="n"/>
      <c r="CG170" s="15" t="n"/>
      <c r="CH170" s="15" t="n"/>
      <c r="CI170" s="15" t="n"/>
      <c r="CJ170" s="15" t="n"/>
      <c r="CK170" s="15" t="n"/>
      <c r="CL170" s="15" t="n"/>
      <c r="CM170" s="15" t="n"/>
      <c r="CN170" s="15" t="n"/>
      <c r="CO170" s="15" t="n"/>
      <c r="CP170" s="15" t="n"/>
      <c r="CQ170" s="15" t="n"/>
      <c r="CR170" s="15" t="n"/>
      <c r="CS170" s="15" t="n"/>
      <c r="CT170" s="15" t="n"/>
      <c r="CU170" s="15" t="n"/>
      <c r="CV170" s="15" t="n"/>
      <c r="CW170" s="15" t="n"/>
      <c r="CX170" s="15" t="n"/>
      <c r="CY170" s="15" t="n"/>
      <c r="CZ170" s="15" t="n"/>
      <c r="DA170" s="15" t="n"/>
      <c r="DB170" s="15" t="n"/>
      <c r="DC170" s="15" t="n"/>
      <c r="DD170" s="15" t="n"/>
      <c r="DE170" s="15" t="n"/>
      <c r="DF170" s="15" t="n"/>
      <c r="DG170" s="15" t="n"/>
      <c r="DH170" s="15" t="n"/>
      <c r="DI170" s="15" t="n"/>
      <c r="DJ170" s="15" t="n"/>
      <c r="DK170" s="15" t="n"/>
      <c r="DL170" s="15" t="n"/>
    </row>
    <row r="171">
      <c r="A171" s="14" t="inlineStr">
        <is>
          <t>52(a)</t>
        </is>
      </c>
      <c r="B171" s="7" t="inlineStr">
        <is>
          <t>Transfer of debentures</t>
        </is>
      </c>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c r="AH171" s="15" t="n"/>
      <c r="AI171" s="15" t="n"/>
      <c r="AJ171" s="15" t="n"/>
      <c r="AK171" s="15" t="n"/>
      <c r="AL171" s="15" t="n"/>
      <c r="AM171" s="15" t="n"/>
      <c r="AN171" s="15" t="n"/>
      <c r="AO171" s="15" t="n"/>
      <c r="AP171" s="15" t="n"/>
      <c r="AQ171" s="15" t="n"/>
      <c r="AR171" s="15" t="n"/>
      <c r="AS171" s="15" t="n"/>
      <c r="AT171" s="15" t="n"/>
      <c r="AU171" s="15" t="n"/>
      <c r="AV171" s="15" t="n"/>
      <c r="AW171" s="15" t="n"/>
      <c r="AX171" s="15" t="n"/>
      <c r="AY171" s="15" t="n"/>
      <c r="AZ171" s="15" t="n"/>
      <c r="BA171" s="15" t="n"/>
      <c r="BB171" s="15" t="n"/>
      <c r="BC171" s="15" t="n"/>
      <c r="BD171" s="15" t="n"/>
      <c r="BE171" s="15" t="n"/>
      <c r="BF171" s="15" t="n"/>
      <c r="BG171" s="15" t="n"/>
      <c r="BH171" s="15" t="n"/>
      <c r="BI171" s="15" t="n"/>
      <c r="BJ171" s="15" t="n"/>
      <c r="BK171" s="15" t="n"/>
      <c r="BL171" s="15" t="n"/>
      <c r="BM171" s="15" t="n"/>
      <c r="BN171" s="15" t="n"/>
      <c r="BO171" s="15" t="n"/>
      <c r="BP171" s="15" t="n"/>
      <c r="BQ171" s="15" t="n"/>
      <c r="BR171" s="15" t="n"/>
      <c r="BS171" s="15" t="n"/>
      <c r="BT171" s="15" t="n"/>
      <c r="BU171" s="15" t="n"/>
      <c r="BV171" s="15" t="n"/>
      <c r="BW171" s="15" t="n"/>
      <c r="BX171" s="15" t="n"/>
      <c r="BY171" s="15" t="n"/>
      <c r="BZ171" s="15" t="n"/>
      <c r="CA171" s="15" t="n"/>
      <c r="CB171" s="15" t="n"/>
      <c r="CC171" s="15" t="n"/>
      <c r="CD171" s="15" t="n"/>
      <c r="CE171" s="15" t="n"/>
      <c r="CF171" s="15" t="n"/>
      <c r="CG171" s="15" t="n"/>
      <c r="CH171" s="19" t="inlineStr">
        <is>
          <t>C</t>
        </is>
      </c>
      <c r="CI171" s="15" t="n"/>
      <c r="CJ171" s="15" t="n"/>
      <c r="CK171" s="15" t="n"/>
      <c r="CL171" s="15" t="n"/>
      <c r="CM171" s="15" t="n"/>
      <c r="CN171" s="15" t="n"/>
      <c r="CO171" s="15" t="n"/>
      <c r="CP171" s="15" t="n"/>
      <c r="CQ171" s="15" t="n"/>
      <c r="CR171" s="15" t="n"/>
      <c r="CS171" s="15" t="n"/>
      <c r="CT171" s="15" t="n"/>
      <c r="CU171" s="15" t="n"/>
      <c r="CV171" s="15" t="n"/>
      <c r="CW171" s="15" t="n"/>
      <c r="CX171" s="15" t="n"/>
      <c r="CY171" s="15" t="n"/>
      <c r="CZ171" s="15" t="n"/>
      <c r="DA171" s="15" t="n"/>
      <c r="DB171" s="15" t="n"/>
      <c r="DC171" s="15" t="n"/>
      <c r="DD171" s="15" t="n"/>
      <c r="DE171" s="15" t="n"/>
      <c r="DF171" s="15" t="n"/>
      <c r="DG171" s="15" t="n"/>
      <c r="DH171" s="15" t="n"/>
      <c r="DI171" s="17" t="inlineStr">
        <is>
          <t>I</t>
        </is>
      </c>
      <c r="DJ171" s="15" t="n"/>
      <c r="DK171" s="15" t="n"/>
      <c r="DL171" s="15" t="n"/>
    </row>
    <row r="172">
      <c r="A172" s="14" t="inlineStr">
        <is>
          <t>52(b)(i)</t>
        </is>
      </c>
      <c r="B172" s="7" t="inlineStr">
        <is>
          <t>Transfer of interest secured by bond / mortgage / policy - underlying duty &lt;= Rs.22.50</t>
        </is>
      </c>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c r="AH172" s="15" t="n"/>
      <c r="AI172" s="15" t="n"/>
      <c r="AJ172" s="15" t="n"/>
      <c r="AK172" s="15" t="n"/>
      <c r="AL172" s="15" t="n"/>
      <c r="AM172" s="15" t="n"/>
      <c r="AN172" s="15" t="n"/>
      <c r="AO172" s="15" t="n"/>
      <c r="AP172" s="15" t="n"/>
      <c r="AQ172" s="15" t="n"/>
      <c r="AR172" s="15" t="n"/>
      <c r="AS172" s="15" t="n"/>
      <c r="AT172" s="15" t="n"/>
      <c r="AU172" s="15" t="n"/>
      <c r="AV172" s="15" t="n"/>
      <c r="AW172" s="15" t="n"/>
      <c r="AX172" s="15" t="n"/>
      <c r="AY172" s="15" t="n"/>
      <c r="AZ172" s="15" t="n"/>
      <c r="BA172" s="15" t="n"/>
      <c r="BB172" s="15" t="n"/>
      <c r="BC172" s="15" t="n"/>
      <c r="BD172" s="15" t="n"/>
      <c r="BE172" s="15" t="n"/>
      <c r="BF172" s="15" t="n"/>
      <c r="BG172" s="15" t="n"/>
      <c r="BH172" s="15" t="n"/>
      <c r="BI172" s="15" t="n"/>
      <c r="BJ172" s="15" t="n"/>
      <c r="BK172" s="15" t="n"/>
      <c r="BL172" s="15" t="n"/>
      <c r="BM172" s="15" t="n"/>
      <c r="BN172" s="15" t="n"/>
      <c r="BO172" s="15" t="n"/>
      <c r="BP172" s="15" t="n"/>
      <c r="BQ172" s="15" t="n"/>
      <c r="BR172" s="15" t="n"/>
      <c r="BS172" s="15" t="n"/>
      <c r="BT172" s="15" t="n"/>
      <c r="BU172" s="15" t="n"/>
      <c r="BV172" s="15" t="n"/>
      <c r="BW172" s="15" t="n"/>
      <c r="BX172" s="15" t="n"/>
      <c r="BY172" s="15" t="n"/>
      <c r="BZ172" s="15" t="n"/>
      <c r="CA172" s="15" t="n"/>
      <c r="CB172" s="15" t="n"/>
      <c r="CC172" s="15" t="n"/>
      <c r="CD172" s="15" t="n"/>
      <c r="CE172" s="15" t="n"/>
      <c r="CF172" s="15" t="n"/>
      <c r="CG172" s="15" t="n"/>
      <c r="CH172" s="15" t="n"/>
      <c r="CI172" s="15" t="n"/>
      <c r="CJ172" s="15" t="n"/>
      <c r="CK172" s="15" t="n"/>
      <c r="CL172" s="15" t="n"/>
      <c r="CM172" s="15" t="n"/>
      <c r="CN172" s="15" t="n"/>
      <c r="CO172" s="15" t="n"/>
      <c r="CP172" s="15" t="n"/>
      <c r="CQ172" s="15" t="n"/>
      <c r="CR172" s="15" t="n"/>
      <c r="CS172" s="15" t="n"/>
      <c r="CT172" s="15" t="n"/>
      <c r="CU172" s="15" t="n"/>
      <c r="CV172" s="15" t="n"/>
      <c r="CW172" s="15" t="n"/>
      <c r="CX172" s="15" t="n"/>
      <c r="CY172" s="15" t="n"/>
      <c r="CZ172" s="15" t="n"/>
      <c r="DA172" s="15" t="n"/>
      <c r="DB172" s="15" t="n"/>
      <c r="DC172" s="15" t="n"/>
      <c r="DD172" s="15" t="n"/>
      <c r="DE172" s="15" t="n"/>
      <c r="DF172" s="15" t="n"/>
      <c r="DG172" s="15" t="n"/>
      <c r="DH172" s="15" t="n"/>
      <c r="DI172" s="17" t="inlineStr">
        <is>
          <t>I</t>
        </is>
      </c>
      <c r="DJ172" s="16" t="inlineStr">
        <is>
          <t>I+C</t>
        </is>
      </c>
      <c r="DK172" s="15" t="n"/>
      <c r="DL172" s="15" t="n"/>
    </row>
    <row r="173">
      <c r="A173" s="14" t="inlineStr">
        <is>
          <t>52(b)(ii)</t>
        </is>
      </c>
      <c r="B173" s="7" t="inlineStr">
        <is>
          <t>Transfer of interest secured by bond / mortgage / policy - other</t>
        </is>
      </c>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c r="AH173" s="15" t="n"/>
      <c r="AI173" s="15" t="n"/>
      <c r="AJ173" s="15" t="n"/>
      <c r="AK173" s="15" t="n"/>
      <c r="AL173" s="15" t="n"/>
      <c r="AM173" s="15" t="n"/>
      <c r="AN173" s="15" t="n"/>
      <c r="AO173" s="15" t="n"/>
      <c r="AP173" s="15" t="n"/>
      <c r="AQ173" s="15" t="n"/>
      <c r="AR173" s="15" t="n"/>
      <c r="AS173" s="15" t="n"/>
      <c r="AT173" s="15" t="n"/>
      <c r="AU173" s="15" t="n"/>
      <c r="AV173" s="15" t="n"/>
      <c r="AW173" s="15" t="n"/>
      <c r="AX173" s="15" t="n"/>
      <c r="AY173" s="15" t="n"/>
      <c r="AZ173" s="15" t="n"/>
      <c r="BA173" s="15" t="n"/>
      <c r="BB173" s="15" t="n"/>
      <c r="BC173" s="15" t="n"/>
      <c r="BD173" s="15" t="n"/>
      <c r="BE173" s="15" t="n"/>
      <c r="BF173" s="15" t="n"/>
      <c r="BG173" s="15" t="n"/>
      <c r="BH173" s="15" t="n"/>
      <c r="BI173" s="15" t="n"/>
      <c r="BJ173" s="15" t="n"/>
      <c r="BK173" s="15" t="n"/>
      <c r="BL173" s="15" t="n"/>
      <c r="BM173" s="15" t="n"/>
      <c r="BN173" s="15" t="n"/>
      <c r="BO173" s="15" t="n"/>
      <c r="BP173" s="15" t="n"/>
      <c r="BQ173" s="15" t="n"/>
      <c r="BR173" s="15" t="n"/>
      <c r="BS173" s="15" t="n"/>
      <c r="BT173" s="15" t="n"/>
      <c r="BU173" s="15" t="n"/>
      <c r="BV173" s="15" t="n"/>
      <c r="BW173" s="15" t="n"/>
      <c r="BX173" s="15" t="n"/>
      <c r="BY173" s="15" t="n"/>
      <c r="BZ173" s="15" t="n"/>
      <c r="CA173" s="15" t="n"/>
      <c r="CB173" s="15" t="n"/>
      <c r="CC173" s="15" t="n"/>
      <c r="CD173" s="15" t="n"/>
      <c r="CE173" s="15" t="n"/>
      <c r="CF173" s="15" t="n"/>
      <c r="CG173" s="15" t="n"/>
      <c r="CH173" s="15" t="n"/>
      <c r="CI173" s="15" t="n"/>
      <c r="CJ173" s="15" t="n"/>
      <c r="CK173" s="15" t="n"/>
      <c r="CL173" s="15" t="n"/>
      <c r="CM173" s="15" t="n"/>
      <c r="CN173" s="15" t="n"/>
      <c r="CO173" s="15" t="n"/>
      <c r="CP173" s="15" t="n"/>
      <c r="CQ173" s="15" t="n"/>
      <c r="CR173" s="15" t="n"/>
      <c r="CS173" s="15" t="n"/>
      <c r="CT173" s="15" t="n"/>
      <c r="CU173" s="15" t="n"/>
      <c r="CV173" s="15" t="n"/>
      <c r="CW173" s="15" t="n"/>
      <c r="CX173" s="15" t="n"/>
      <c r="CY173" s="15" t="n"/>
      <c r="CZ173" s="15" t="n"/>
      <c r="DA173" s="15" t="n"/>
      <c r="DB173" s="15" t="n"/>
      <c r="DC173" s="15" t="n"/>
      <c r="DD173" s="15" t="n"/>
      <c r="DE173" s="15" t="n"/>
      <c r="DF173" s="15" t="n"/>
      <c r="DG173" s="15" t="n"/>
      <c r="DH173" s="15" t="n"/>
      <c r="DI173" s="17" t="inlineStr">
        <is>
          <t>I</t>
        </is>
      </c>
      <c r="DJ173" s="17" t="inlineStr">
        <is>
          <t>I</t>
        </is>
      </c>
      <c r="DK173" s="15" t="n"/>
      <c r="DL173" s="15" t="n"/>
    </row>
    <row r="174">
      <c r="A174" s="14" t="inlineStr">
        <is>
          <t>52(c)</t>
        </is>
      </c>
      <c r="B174" s="7" t="inlineStr">
        <is>
          <t>Transfer under Sec 25 Administrator-General's Act</t>
        </is>
      </c>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c r="AH174" s="15" t="n"/>
      <c r="AI174" s="15" t="n"/>
      <c r="AJ174" s="15" t="n"/>
      <c r="AK174" s="15" t="n"/>
      <c r="AL174" s="15" t="n"/>
      <c r="AM174" s="15" t="n"/>
      <c r="AN174" s="15" t="n"/>
      <c r="AO174" s="15" t="n"/>
      <c r="AP174" s="15" t="n"/>
      <c r="AQ174" s="15" t="n"/>
      <c r="AR174" s="15" t="n"/>
      <c r="AS174" s="15" t="n"/>
      <c r="AT174" s="15" t="n"/>
      <c r="AU174" s="15" t="n"/>
      <c r="AV174" s="15" t="n"/>
      <c r="AW174" s="15" t="n"/>
      <c r="AX174" s="15" t="n"/>
      <c r="AY174" s="15" t="n"/>
      <c r="AZ174" s="15" t="n"/>
      <c r="BA174" s="15" t="n"/>
      <c r="BB174" s="15" t="n"/>
      <c r="BC174" s="15" t="n"/>
      <c r="BD174" s="15" t="n"/>
      <c r="BE174" s="15" t="n"/>
      <c r="BF174" s="15" t="n"/>
      <c r="BG174" s="15" t="n"/>
      <c r="BH174" s="15" t="n"/>
      <c r="BI174" s="15" t="n"/>
      <c r="BJ174" s="15" t="n"/>
      <c r="BK174" s="15" t="n"/>
      <c r="BL174" s="15" t="n"/>
      <c r="BM174" s="15" t="n"/>
      <c r="BN174" s="15" t="n"/>
      <c r="BO174" s="15" t="n"/>
      <c r="BP174" s="15" t="n"/>
      <c r="BQ174" s="15" t="n"/>
      <c r="BR174" s="15" t="n"/>
      <c r="BS174" s="15" t="n"/>
      <c r="BT174" s="15" t="n"/>
      <c r="BU174" s="15" t="n"/>
      <c r="BV174" s="15" t="n"/>
      <c r="BW174" s="15" t="n"/>
      <c r="BX174" s="15" t="n"/>
      <c r="BY174" s="15" t="n"/>
      <c r="BZ174" s="15" t="n"/>
      <c r="CA174" s="15" t="n"/>
      <c r="CB174" s="15" t="n"/>
      <c r="CC174" s="15" t="n"/>
      <c r="CD174" s="15" t="n"/>
      <c r="CE174" s="15" t="n"/>
      <c r="CF174" s="15" t="n"/>
      <c r="CG174" s="15" t="n"/>
      <c r="CH174" s="15" t="n"/>
      <c r="CI174" s="15" t="n"/>
      <c r="CJ174" s="15" t="n"/>
      <c r="CK174" s="15" t="n"/>
      <c r="CL174" s="15" t="n"/>
      <c r="CM174" s="15" t="n"/>
      <c r="CN174" s="15" t="n"/>
      <c r="CO174" s="15" t="n"/>
      <c r="CP174" s="15" t="n"/>
      <c r="CQ174" s="15" t="n"/>
      <c r="CR174" s="15" t="n"/>
      <c r="CS174" s="15" t="n"/>
      <c r="CT174" s="15" t="n"/>
      <c r="CU174" s="15" t="n"/>
      <c r="CV174" s="15" t="n"/>
      <c r="CW174" s="15" t="n"/>
      <c r="CX174" s="15" t="n"/>
      <c r="CY174" s="15" t="n"/>
      <c r="CZ174" s="15" t="n"/>
      <c r="DA174" s="15" t="n"/>
      <c r="DB174" s="15" t="n"/>
      <c r="DC174" s="15" t="n"/>
      <c r="DD174" s="15" t="n"/>
      <c r="DE174" s="15" t="n"/>
      <c r="DF174" s="15" t="n"/>
      <c r="DG174" s="15" t="n"/>
      <c r="DH174" s="15" t="n"/>
      <c r="DI174" s="17" t="inlineStr">
        <is>
          <t>I</t>
        </is>
      </c>
      <c r="DJ174" s="15" t="n"/>
      <c r="DK174" s="15" t="n"/>
      <c r="DL174" s="15" t="n"/>
    </row>
    <row r="175">
      <c r="A175" s="14" t="inlineStr">
        <is>
          <t>52(d)</t>
        </is>
      </c>
      <c r="B175" s="7" t="inlineStr">
        <is>
          <t>Transfer of trust property</t>
        </is>
      </c>
      <c r="C175" s="15" t="n"/>
      <c r="D175" s="15" t="n"/>
      <c r="E175" s="19" t="inlineStr">
        <is>
          <t>C</t>
        </is>
      </c>
      <c r="F175" s="19" t="inlineStr">
        <is>
          <t>C</t>
        </is>
      </c>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c r="AH175" s="15" t="n"/>
      <c r="AI175" s="15" t="n"/>
      <c r="AJ175" s="15" t="n"/>
      <c r="AK175" s="15" t="n"/>
      <c r="AL175" s="15" t="n"/>
      <c r="AM175" s="15" t="n"/>
      <c r="AN175" s="15" t="n"/>
      <c r="AO175" s="15" t="n"/>
      <c r="AP175" s="15" t="n"/>
      <c r="AQ175" s="15" t="n"/>
      <c r="AR175" s="15" t="n"/>
      <c r="AS175" s="15" t="n"/>
      <c r="AT175" s="15" t="n"/>
      <c r="AU175" s="15" t="n"/>
      <c r="AV175" s="15" t="n"/>
      <c r="AW175" s="15" t="n"/>
      <c r="AX175" s="15" t="n"/>
      <c r="AY175" s="15" t="n"/>
      <c r="AZ175" s="15" t="n"/>
      <c r="BA175" s="15" t="n"/>
      <c r="BB175" s="15" t="n"/>
      <c r="BC175" s="15" t="n"/>
      <c r="BD175" s="15" t="n"/>
      <c r="BE175" s="15" t="n"/>
      <c r="BF175" s="15" t="n"/>
      <c r="BG175" s="15" t="n"/>
      <c r="BH175" s="15" t="n"/>
      <c r="BI175" s="15" t="n"/>
      <c r="BJ175" s="15" t="n"/>
      <c r="BK175" s="15" t="n"/>
      <c r="BL175" s="15" t="n"/>
      <c r="BM175" s="15" t="n"/>
      <c r="BN175" s="15" t="n"/>
      <c r="BO175" s="15" t="n"/>
      <c r="BP175" s="15" t="n"/>
      <c r="BQ175" s="15" t="n"/>
      <c r="BR175" s="15" t="n"/>
      <c r="BS175" s="15" t="n"/>
      <c r="BT175" s="15" t="n"/>
      <c r="BU175" s="15" t="n"/>
      <c r="BV175" s="15" t="n"/>
      <c r="BW175" s="15" t="n"/>
      <c r="BX175" s="15" t="n"/>
      <c r="BY175" s="15" t="n"/>
      <c r="BZ175" s="15" t="n"/>
      <c r="CA175" s="15" t="n"/>
      <c r="CB175" s="15" t="n"/>
      <c r="CC175" s="15" t="n"/>
      <c r="CD175" s="15" t="n"/>
      <c r="CE175" s="15" t="n"/>
      <c r="CF175" s="15" t="n"/>
      <c r="CG175" s="15" t="n"/>
      <c r="CH175" s="15" t="n"/>
      <c r="CI175" s="15" t="n"/>
      <c r="CJ175" s="15" t="n"/>
      <c r="CK175" s="15" t="n"/>
      <c r="CL175" s="17" t="inlineStr">
        <is>
          <t>I</t>
        </is>
      </c>
      <c r="CM175" s="15" t="n"/>
      <c r="CN175" s="15" t="n"/>
      <c r="CO175" s="15" t="n"/>
      <c r="CP175" s="15" t="n"/>
      <c r="CQ175" s="15" t="n"/>
      <c r="CR175" s="15" t="n"/>
      <c r="CS175" s="15" t="n"/>
      <c r="CT175" s="15" t="n"/>
      <c r="CU175" s="15" t="n"/>
      <c r="CV175" s="15" t="n"/>
      <c r="CW175" s="15" t="n"/>
      <c r="CX175" s="15" t="n"/>
      <c r="CY175" s="15" t="n"/>
      <c r="CZ175" s="15" t="n"/>
      <c r="DA175" s="15" t="n"/>
      <c r="DB175" s="15" t="n"/>
      <c r="DC175" s="15" t="n"/>
      <c r="DD175" s="15" t="n"/>
      <c r="DE175" s="15" t="n"/>
      <c r="DF175" s="15" t="n"/>
      <c r="DG175" s="15" t="n"/>
      <c r="DH175" s="15" t="n"/>
      <c r="DI175" s="17" t="inlineStr">
        <is>
          <t>I</t>
        </is>
      </c>
      <c r="DJ175" s="15" t="n"/>
      <c r="DK175" s="15" t="n"/>
      <c r="DL175" s="15" t="n"/>
    </row>
    <row r="176">
      <c r="A176" s="14" t="inlineStr">
        <is>
          <t>53(a)</t>
        </is>
      </c>
      <c r="B176" s="7" t="inlineStr">
        <is>
          <t>Transfer of lease - remaining period &lt;= 30 years</t>
        </is>
      </c>
      <c r="C176" s="15" t="n"/>
      <c r="D176" s="15" t="n"/>
      <c r="E176" s="19" t="inlineStr">
        <is>
          <t>C</t>
        </is>
      </c>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c r="AH176" s="15" t="n"/>
      <c r="AI176" s="15" t="n"/>
      <c r="AJ176" s="15" t="n"/>
      <c r="AK176" s="15" t="n"/>
      <c r="AL176" s="15" t="n"/>
      <c r="AM176" s="15" t="n"/>
      <c r="AN176" s="15" t="n"/>
      <c r="AO176" s="15" t="n"/>
      <c r="AP176" s="15" t="n"/>
      <c r="AQ176" s="15" t="n"/>
      <c r="AR176" s="15" t="n"/>
      <c r="AS176" s="15" t="n"/>
      <c r="AT176" s="15" t="n"/>
      <c r="AU176" s="15" t="n"/>
      <c r="AV176" s="15" t="n"/>
      <c r="AW176" s="15" t="n"/>
      <c r="AX176" s="15" t="n"/>
      <c r="AY176" s="15" t="n"/>
      <c r="AZ176" s="15" t="n"/>
      <c r="BA176" s="15" t="n"/>
      <c r="BB176" s="15" t="n"/>
      <c r="BC176" s="15" t="n"/>
      <c r="BD176" s="15" t="n"/>
      <c r="BE176" s="15" t="n"/>
      <c r="BF176" s="15" t="n"/>
      <c r="BG176" s="15" t="n"/>
      <c r="BH176" s="17" t="inlineStr">
        <is>
          <t>I</t>
        </is>
      </c>
      <c r="BI176" s="15" t="n"/>
      <c r="BJ176" s="15" t="n"/>
      <c r="BK176" s="15" t="n"/>
      <c r="BL176" s="15" t="n"/>
      <c r="BM176" s="15" t="n"/>
      <c r="BN176" s="15" t="n"/>
      <c r="BO176" s="15" t="n"/>
      <c r="BP176" s="15" t="n"/>
      <c r="BQ176" s="15" t="n"/>
      <c r="BR176" s="15" t="n"/>
      <c r="BS176" s="15" t="n"/>
      <c r="BT176" s="15" t="n"/>
      <c r="BU176" s="15" t="n"/>
      <c r="BV176" s="15" t="n"/>
      <c r="BW176" s="15" t="n"/>
      <c r="BX176" s="15" t="n"/>
      <c r="BY176" s="15" t="n"/>
      <c r="BZ176" s="15" t="n"/>
      <c r="CA176" s="15" t="n"/>
      <c r="CB176" s="15" t="n"/>
      <c r="CC176" s="15" t="n"/>
      <c r="CD176" s="15" t="n"/>
      <c r="CE176" s="15" t="n"/>
      <c r="CF176" s="15" t="n"/>
      <c r="CG176" s="15" t="n"/>
      <c r="CH176" s="15" t="n"/>
      <c r="CI176" s="15" t="n"/>
      <c r="CJ176" s="15" t="n"/>
      <c r="CK176" s="15" t="n"/>
      <c r="CL176" s="15" t="n"/>
      <c r="CM176" s="15" t="n"/>
      <c r="CN176" s="15" t="n"/>
      <c r="CO176" s="15" t="n"/>
      <c r="CP176" s="15" t="n"/>
      <c r="CQ176" s="15" t="n"/>
      <c r="CR176" s="15" t="n"/>
      <c r="CS176" s="15" t="n"/>
      <c r="CT176" s="15" t="n"/>
      <c r="CU176" s="15" t="n"/>
      <c r="CV176" s="15" t="n"/>
      <c r="CW176" s="15" t="n"/>
      <c r="CX176" s="15" t="n"/>
      <c r="CY176" s="15" t="n"/>
      <c r="CZ176" s="15" t="n"/>
      <c r="DA176" s="15" t="n"/>
      <c r="DB176" s="15" t="n"/>
      <c r="DC176" s="15" t="n"/>
      <c r="DD176" s="15" t="n"/>
      <c r="DE176" s="15" t="n"/>
      <c r="DF176" s="15" t="n"/>
      <c r="DG176" s="15" t="n"/>
      <c r="DH176" s="15" t="n"/>
      <c r="DI176" s="15" t="n"/>
      <c r="DJ176" s="15" t="n"/>
      <c r="DK176" s="15" t="n"/>
      <c r="DL176" s="15" t="n"/>
    </row>
    <row r="177">
      <c r="A177" s="14" t="inlineStr">
        <is>
          <t>53(b)</t>
        </is>
      </c>
      <c r="B177" s="7" t="inlineStr">
        <is>
          <t>Transfer of lease - remaining period &gt; 30 years</t>
        </is>
      </c>
      <c r="C177" s="15" t="n"/>
      <c r="D177" s="15" t="n"/>
      <c r="E177" s="15" t="n"/>
      <c r="F177" s="19" t="inlineStr">
        <is>
          <t>C</t>
        </is>
      </c>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c r="AH177" s="15" t="n"/>
      <c r="AI177" s="15" t="n"/>
      <c r="AJ177" s="15" t="n"/>
      <c r="AK177" s="15" t="n"/>
      <c r="AL177" s="15" t="n"/>
      <c r="AM177" s="15" t="n"/>
      <c r="AN177" s="15" t="n"/>
      <c r="AO177" s="15" t="n"/>
      <c r="AP177" s="15" t="n"/>
      <c r="AQ177" s="15" t="n"/>
      <c r="AR177" s="15" t="n"/>
      <c r="AS177" s="15" t="n"/>
      <c r="AT177" s="15" t="n"/>
      <c r="AU177" s="15" t="n"/>
      <c r="AV177" s="15" t="n"/>
      <c r="AW177" s="15" t="n"/>
      <c r="AX177" s="15" t="n"/>
      <c r="AY177" s="15" t="n"/>
      <c r="AZ177" s="15" t="n"/>
      <c r="BA177" s="15" t="n"/>
      <c r="BB177" s="15" t="n"/>
      <c r="BC177" s="15" t="n"/>
      <c r="BD177" s="15" t="n"/>
      <c r="BE177" s="15" t="n"/>
      <c r="BF177" s="15" t="n"/>
      <c r="BG177" s="15" t="n"/>
      <c r="BH177" s="17" t="inlineStr">
        <is>
          <t>I</t>
        </is>
      </c>
      <c r="BI177" s="15" t="n"/>
      <c r="BJ177" s="15" t="n"/>
      <c r="BK177" s="15" t="n"/>
      <c r="BL177" s="15" t="n"/>
      <c r="BM177" s="15" t="n"/>
      <c r="BN177" s="15" t="n"/>
      <c r="BO177" s="15" t="n"/>
      <c r="BP177" s="15" t="n"/>
      <c r="BQ177" s="15" t="n"/>
      <c r="BR177" s="15" t="n"/>
      <c r="BS177" s="15" t="n"/>
      <c r="BT177" s="15" t="n"/>
      <c r="BU177" s="15" t="n"/>
      <c r="BV177" s="15" t="n"/>
      <c r="BW177" s="15" t="n"/>
      <c r="BX177" s="15" t="n"/>
      <c r="BY177" s="15" t="n"/>
      <c r="BZ177" s="15" t="n"/>
      <c r="CA177" s="15" t="n"/>
      <c r="CB177" s="15" t="n"/>
      <c r="CC177" s="15" t="n"/>
      <c r="CD177" s="15" t="n"/>
      <c r="CE177" s="15" t="n"/>
      <c r="CF177" s="15" t="n"/>
      <c r="CG177" s="15" t="n"/>
      <c r="CH177" s="15" t="n"/>
      <c r="CI177" s="15" t="n"/>
      <c r="CJ177" s="15" t="n"/>
      <c r="CK177" s="15" t="n"/>
      <c r="CL177" s="15" t="n"/>
      <c r="CM177" s="15" t="n"/>
      <c r="CN177" s="15" t="n"/>
      <c r="CO177" s="15" t="n"/>
      <c r="CP177" s="15" t="n"/>
      <c r="CQ177" s="15" t="n"/>
      <c r="CR177" s="15" t="n"/>
      <c r="CS177" s="15" t="n"/>
      <c r="CT177" s="15" t="n"/>
      <c r="CU177" s="15" t="n"/>
      <c r="CV177" s="15" t="n"/>
      <c r="CW177" s="15" t="n"/>
      <c r="CX177" s="15" t="n"/>
      <c r="CY177" s="15" t="n"/>
      <c r="CZ177" s="15" t="n"/>
      <c r="DA177" s="15" t="n"/>
      <c r="DB177" s="15" t="n"/>
      <c r="DC177" s="15" t="n"/>
      <c r="DD177" s="15" t="n"/>
      <c r="DE177" s="15" t="n"/>
      <c r="DF177" s="15" t="n"/>
      <c r="DG177" s="15" t="n"/>
      <c r="DH177" s="15" t="n"/>
      <c r="DI177" s="15" t="n"/>
      <c r="DJ177" s="15" t="n"/>
      <c r="DK177" s="15" t="n"/>
      <c r="DL177" s="15" t="n"/>
    </row>
    <row r="178">
      <c r="A178" s="14" t="inlineStr">
        <is>
          <t>53-A</t>
        </is>
      </c>
      <c r="B178" s="7" t="inlineStr">
        <is>
          <t>Transfer of licence</t>
        </is>
      </c>
      <c r="C178" s="15" t="n"/>
      <c r="D178" s="15" t="n"/>
      <c r="E178" s="19" t="inlineStr">
        <is>
          <t>C</t>
        </is>
      </c>
      <c r="F178" s="19" t="inlineStr">
        <is>
          <t>C</t>
        </is>
      </c>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c r="AH178" s="15" t="n"/>
      <c r="AI178" s="15" t="n"/>
      <c r="AJ178" s="15" t="n"/>
      <c r="AK178" s="15" t="n"/>
      <c r="AL178" s="15" t="n"/>
      <c r="AM178" s="15" t="n"/>
      <c r="AN178" s="15" t="n"/>
      <c r="AO178" s="15" t="n"/>
      <c r="AP178" s="15" t="n"/>
      <c r="AQ178" s="15" t="n"/>
      <c r="AR178" s="15" t="n"/>
      <c r="AS178" s="15" t="n"/>
      <c r="AT178" s="15" t="n"/>
      <c r="AU178" s="15" t="n"/>
      <c r="AV178" s="15" t="n"/>
      <c r="AW178" s="15" t="n"/>
      <c r="AX178" s="15" t="n"/>
      <c r="AY178" s="15" t="n"/>
      <c r="AZ178" s="15" t="n"/>
      <c r="BA178" s="15" t="n"/>
      <c r="BB178" s="15" t="n"/>
      <c r="BC178" s="15" t="n"/>
      <c r="BD178" s="15" t="n"/>
      <c r="BE178" s="15" t="n"/>
      <c r="BF178" s="15" t="n"/>
      <c r="BG178" s="15" t="n"/>
      <c r="BH178" s="15" t="n"/>
      <c r="BI178" s="15" t="n"/>
      <c r="BJ178" s="15" t="n"/>
      <c r="BK178" s="15" t="n"/>
      <c r="BL178" s="15" t="n"/>
      <c r="BM178" s="15" t="n"/>
      <c r="BN178" s="15" t="n"/>
      <c r="BO178" s="15" t="n"/>
      <c r="BP178" s="15" t="n"/>
      <c r="BQ178" s="15" t="n"/>
      <c r="BR178" s="15" t="n"/>
      <c r="BS178" s="15" t="n"/>
      <c r="BT178" s="15" t="n"/>
      <c r="BU178" s="15" t="n"/>
      <c r="BV178" s="15" t="n"/>
      <c r="BW178" s="15" t="n"/>
      <c r="BX178" s="15" t="n"/>
      <c r="BY178" s="15" t="n"/>
      <c r="BZ178" s="15" t="n"/>
      <c r="CA178" s="15" t="n"/>
      <c r="CB178" s="15" t="n"/>
      <c r="CC178" s="15" t="n"/>
      <c r="CD178" s="15" t="n"/>
      <c r="CE178" s="15" t="n"/>
      <c r="CF178" s="15" t="n"/>
      <c r="CG178" s="15" t="n"/>
      <c r="CH178" s="15" t="n"/>
      <c r="CI178" s="15" t="n"/>
      <c r="CJ178" s="15" t="n"/>
      <c r="CK178" s="15" t="n"/>
      <c r="CL178" s="15" t="n"/>
      <c r="CM178" s="15" t="n"/>
      <c r="CN178" s="15" t="n"/>
      <c r="CO178" s="15" t="n"/>
      <c r="CP178" s="15" t="n"/>
      <c r="CQ178" s="15" t="n"/>
      <c r="CR178" s="15" t="n"/>
      <c r="CS178" s="15" t="n"/>
      <c r="CT178" s="15" t="n"/>
      <c r="CU178" s="15" t="n"/>
      <c r="CV178" s="15" t="n"/>
      <c r="CW178" s="15" t="n"/>
      <c r="CX178" s="15" t="n"/>
      <c r="CY178" s="15" t="n"/>
      <c r="CZ178" s="15" t="n"/>
      <c r="DA178" s="15" t="n"/>
      <c r="DB178" s="15" t="n"/>
      <c r="DC178" s="15" t="n"/>
      <c r="DD178" s="15" t="n"/>
      <c r="DE178" s="15" t="n"/>
      <c r="DF178" s="15" t="n"/>
      <c r="DG178" s="15" t="n"/>
      <c r="DH178" s="15" t="n"/>
      <c r="DI178" s="15" t="n"/>
      <c r="DJ178" s="15" t="n"/>
      <c r="DK178" s="15" t="n"/>
      <c r="DL178" s="15" t="n"/>
    </row>
    <row r="179">
      <c r="A179" s="14" t="inlineStr">
        <is>
          <t>54(i)</t>
        </is>
      </c>
      <c r="B179" s="7" t="inlineStr">
        <is>
          <t>Trust - exclusively public religious &amp; charitable</t>
        </is>
      </c>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c r="AH179" s="15" t="n"/>
      <c r="AI179" s="15" t="n"/>
      <c r="AJ179" s="15" t="n"/>
      <c r="AK179" s="15" t="n"/>
      <c r="AL179" s="15" t="n"/>
      <c r="AM179" s="15" t="n"/>
      <c r="AN179" s="15" t="n"/>
      <c r="AO179" s="15" t="n"/>
      <c r="AP179" s="15" t="n"/>
      <c r="AQ179" s="15" t="n"/>
      <c r="AR179" s="15" t="n"/>
      <c r="AS179" s="15" t="n"/>
      <c r="AT179" s="15" t="n"/>
      <c r="AU179" s="15" t="n"/>
      <c r="AV179" s="15" t="n"/>
      <c r="AW179" s="15" t="n"/>
      <c r="AX179" s="15" t="n"/>
      <c r="AY179" s="15" t="n"/>
      <c r="AZ179" s="15" t="n"/>
      <c r="BA179" s="15" t="n"/>
      <c r="BB179" s="15" t="n"/>
      <c r="BC179" s="15" t="n"/>
      <c r="BD179" s="15" t="n"/>
      <c r="BE179" s="15" t="n"/>
      <c r="BF179" s="15" t="n"/>
      <c r="BG179" s="15" t="n"/>
      <c r="BH179" s="15" t="n"/>
      <c r="BI179" s="15" t="n"/>
      <c r="BJ179" s="15" t="n"/>
      <c r="BK179" s="15" t="n"/>
      <c r="BL179" s="15" t="n"/>
      <c r="BM179" s="15" t="n"/>
      <c r="BN179" s="15" t="n"/>
      <c r="BO179" s="15" t="n"/>
      <c r="BP179" s="15" t="n"/>
      <c r="BQ179" s="15" t="n"/>
      <c r="BR179" s="15" t="n"/>
      <c r="BS179" s="15" t="n"/>
      <c r="BT179" s="15" t="n"/>
      <c r="BU179" s="15" t="n"/>
      <c r="BV179" s="15" t="n"/>
      <c r="BW179" s="15" t="n"/>
      <c r="BX179" s="15" t="n"/>
      <c r="BY179" s="15" t="n"/>
      <c r="BZ179" s="15" t="n"/>
      <c r="CA179" s="15" t="n"/>
      <c r="CB179" s="15" t="n"/>
      <c r="CC179" s="15" t="n"/>
      <c r="CD179" s="15" t="n"/>
      <c r="CE179" s="15" t="n"/>
      <c r="CF179" s="15" t="n"/>
      <c r="CG179" s="15" t="n"/>
      <c r="CH179" s="15" t="n"/>
      <c r="CI179" s="15" t="n"/>
      <c r="CJ179" s="15" t="n"/>
      <c r="CK179" s="17" t="inlineStr">
        <is>
          <t>I</t>
        </is>
      </c>
      <c r="CL179" s="15" t="n"/>
      <c r="CM179" s="15" t="n"/>
      <c r="CN179" s="15" t="n"/>
      <c r="CO179" s="15" t="n"/>
      <c r="CP179" s="15" t="n"/>
      <c r="CQ179" s="15" t="n"/>
      <c r="CR179" s="15" t="n"/>
      <c r="CS179" s="15" t="n"/>
      <c r="CT179" s="15" t="n"/>
      <c r="CU179" s="15" t="n"/>
      <c r="CV179" s="15" t="n"/>
      <c r="CW179" s="15" t="n"/>
      <c r="CX179" s="15" t="n"/>
      <c r="CY179" s="15" t="n"/>
      <c r="CZ179" s="15" t="n"/>
      <c r="DA179" s="15" t="n"/>
      <c r="DB179" s="15" t="n"/>
      <c r="DC179" s="15" t="n"/>
      <c r="DD179" s="15" t="n"/>
      <c r="DE179" s="15" t="n"/>
      <c r="DF179" s="15" t="n"/>
      <c r="DG179" s="15" t="n"/>
      <c r="DH179" s="15" t="n"/>
      <c r="DI179" s="15" t="n"/>
      <c r="DJ179" s="15" t="n"/>
      <c r="DK179" s="15" t="n"/>
      <c r="DL179" s="15" t="n"/>
    </row>
    <row r="180">
      <c r="A180" s="14" t="inlineStr">
        <is>
          <t>54(ii)</t>
        </is>
      </c>
      <c r="B180" s="7" t="inlineStr">
        <is>
          <t>Trust - management / custody, no transfer of property</t>
        </is>
      </c>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c r="AH180" s="15" t="n"/>
      <c r="AI180" s="15" t="n"/>
      <c r="AJ180" s="15" t="n"/>
      <c r="AK180" s="15" t="n"/>
      <c r="AL180" s="15" t="n"/>
      <c r="AM180" s="15" t="n"/>
      <c r="AN180" s="15" t="n"/>
      <c r="AO180" s="15" t="n"/>
      <c r="AP180" s="15" t="n"/>
      <c r="AQ180" s="15" t="n"/>
      <c r="AR180" s="15" t="n"/>
      <c r="AS180" s="15" t="n"/>
      <c r="AT180" s="15" t="n"/>
      <c r="AU180" s="15" t="n"/>
      <c r="AV180" s="15" t="n"/>
      <c r="AW180" s="15" t="n"/>
      <c r="AX180" s="15" t="n"/>
      <c r="AY180" s="15" t="n"/>
      <c r="AZ180" s="15" t="n"/>
      <c r="BA180" s="15" t="n"/>
      <c r="BB180" s="15" t="n"/>
      <c r="BC180" s="15" t="n"/>
      <c r="BD180" s="15" t="n"/>
      <c r="BE180" s="15" t="n"/>
      <c r="BF180" s="15" t="n"/>
      <c r="BG180" s="15" t="n"/>
      <c r="BH180" s="15" t="n"/>
      <c r="BI180" s="15" t="n"/>
      <c r="BJ180" s="15" t="n"/>
      <c r="BK180" s="15" t="n"/>
      <c r="BL180" s="15" t="n"/>
      <c r="BM180" s="15" t="n"/>
      <c r="BN180" s="15" t="n"/>
      <c r="BO180" s="15" t="n"/>
      <c r="BP180" s="15" t="n"/>
      <c r="BQ180" s="15" t="n"/>
      <c r="BR180" s="15" t="n"/>
      <c r="BS180" s="15" t="n"/>
      <c r="BT180" s="15" t="n"/>
      <c r="BU180" s="15" t="n"/>
      <c r="BV180" s="15" t="n"/>
      <c r="BW180" s="15" t="n"/>
      <c r="BX180" s="15" t="n"/>
      <c r="BY180" s="15" t="n"/>
      <c r="BZ180" s="15" t="n"/>
      <c r="CA180" s="15" t="n"/>
      <c r="CB180" s="15" t="n"/>
      <c r="CC180" s="15" t="n"/>
      <c r="CD180" s="15" t="n"/>
      <c r="CE180" s="15" t="n"/>
      <c r="CF180" s="15" t="n"/>
      <c r="CG180" s="15" t="n"/>
      <c r="CH180" s="15" t="n"/>
      <c r="CI180" s="15" t="n"/>
      <c r="CJ180" s="15" t="n"/>
      <c r="CK180" s="17" t="inlineStr">
        <is>
          <t>I</t>
        </is>
      </c>
      <c r="CL180" s="15" t="n"/>
      <c r="CM180" s="15" t="n"/>
      <c r="CN180" s="15" t="n"/>
      <c r="CO180" s="15" t="n"/>
      <c r="CP180" s="15" t="n"/>
      <c r="CQ180" s="15" t="n"/>
      <c r="CR180" s="15" t="n"/>
      <c r="CS180" s="15" t="n"/>
      <c r="CT180" s="15" t="n"/>
      <c r="CU180" s="15" t="n"/>
      <c r="CV180" s="15" t="n"/>
      <c r="CW180" s="15" t="n"/>
      <c r="CX180" s="15" t="n"/>
      <c r="CY180" s="15" t="n"/>
      <c r="CZ180" s="15" t="n"/>
      <c r="DA180" s="15" t="n"/>
      <c r="DB180" s="15" t="n"/>
      <c r="DC180" s="15" t="n"/>
      <c r="DD180" s="15" t="n"/>
      <c r="DE180" s="15" t="n"/>
      <c r="DF180" s="15" t="n"/>
      <c r="DG180" s="15" t="n"/>
      <c r="DH180" s="15" t="n"/>
      <c r="DI180" s="15" t="n"/>
      <c r="DJ180" s="15" t="n"/>
      <c r="DK180" s="15" t="n"/>
      <c r="DL180" s="15" t="n"/>
    </row>
    <row r="181">
      <c r="A181" s="14" t="inlineStr">
        <is>
          <t>54(iii)</t>
        </is>
      </c>
      <c r="B181" s="7" t="inlineStr">
        <is>
          <t>Trust - involves transfer / disposition of property</t>
        </is>
      </c>
      <c r="C181" s="15" t="n"/>
      <c r="D181" s="15" t="n"/>
      <c r="E181" s="19" t="inlineStr">
        <is>
          <t>C</t>
        </is>
      </c>
      <c r="F181" s="19" t="inlineStr">
        <is>
          <t>C</t>
        </is>
      </c>
      <c r="G181" s="15" t="n"/>
      <c r="H181" s="15" t="n"/>
      <c r="I181" s="15" t="n"/>
      <c r="J181" s="15" t="n"/>
      <c r="K181" s="15" t="n"/>
      <c r="L181" s="15" t="n"/>
      <c r="M181" s="15" t="n"/>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c r="AH181" s="15" t="n"/>
      <c r="AI181" s="15" t="n"/>
      <c r="AJ181" s="15" t="n"/>
      <c r="AK181" s="15" t="n"/>
      <c r="AL181" s="15" t="n"/>
      <c r="AM181" s="15" t="n"/>
      <c r="AN181" s="15" t="n"/>
      <c r="AO181" s="15" t="n"/>
      <c r="AP181" s="15" t="n"/>
      <c r="AQ181" s="15" t="n"/>
      <c r="AR181" s="15" t="n"/>
      <c r="AS181" s="15" t="n"/>
      <c r="AT181" s="15" t="n"/>
      <c r="AU181" s="15" t="n"/>
      <c r="AV181" s="15" t="n"/>
      <c r="AW181" s="15" t="n"/>
      <c r="AX181" s="15" t="n"/>
      <c r="AY181" s="15" t="n"/>
      <c r="AZ181" s="15" t="n"/>
      <c r="BA181" s="15" t="n"/>
      <c r="BB181" s="15" t="n"/>
      <c r="BC181" s="15" t="n"/>
      <c r="BD181" s="15" t="n"/>
      <c r="BE181" s="15" t="n"/>
      <c r="BF181" s="15" t="n"/>
      <c r="BG181" s="15" t="n"/>
      <c r="BH181" s="15" t="n"/>
      <c r="BI181" s="15" t="n"/>
      <c r="BJ181" s="15" t="n"/>
      <c r="BK181" s="15" t="n"/>
      <c r="BL181" s="15" t="n"/>
      <c r="BM181" s="15" t="n"/>
      <c r="BN181" s="15" t="n"/>
      <c r="BO181" s="15" t="n"/>
      <c r="BP181" s="15" t="n"/>
      <c r="BQ181" s="15" t="n"/>
      <c r="BR181" s="15" t="n"/>
      <c r="BS181" s="15" t="n"/>
      <c r="BT181" s="15" t="n"/>
      <c r="BU181" s="15" t="n"/>
      <c r="BV181" s="15" t="n"/>
      <c r="BW181" s="15" t="n"/>
      <c r="BX181" s="15" t="n"/>
      <c r="BY181" s="15" t="n"/>
      <c r="BZ181" s="15" t="n"/>
      <c r="CA181" s="15" t="n"/>
      <c r="CB181" s="15" t="n"/>
      <c r="CC181" s="15" t="n"/>
      <c r="CD181" s="15" t="n"/>
      <c r="CE181" s="15" t="n"/>
      <c r="CF181" s="15" t="n"/>
      <c r="CG181" s="15" t="n"/>
      <c r="CH181" s="15" t="n"/>
      <c r="CI181" s="15" t="n"/>
      <c r="CJ181" s="15" t="n"/>
      <c r="CK181" s="17" t="inlineStr">
        <is>
          <t>I</t>
        </is>
      </c>
      <c r="CL181" s="15" t="n"/>
      <c r="CM181" s="15" t="n"/>
      <c r="CN181" s="15" t="n"/>
      <c r="CO181" s="15" t="n"/>
      <c r="CP181" s="15" t="n"/>
      <c r="CQ181" s="15" t="n"/>
      <c r="CR181" s="15" t="n"/>
      <c r="CS181" s="15" t="n"/>
      <c r="CT181" s="15" t="n"/>
      <c r="CU181" s="15" t="n"/>
      <c r="CV181" s="15" t="n"/>
      <c r="CW181" s="15" t="n"/>
      <c r="CX181" s="15" t="n"/>
      <c r="CY181" s="15" t="n"/>
      <c r="CZ181" s="15" t="n"/>
      <c r="DA181" s="15" t="n"/>
      <c r="DB181" s="15" t="n"/>
      <c r="DC181" s="15" t="n"/>
      <c r="DD181" s="15" t="n"/>
      <c r="DE181" s="15" t="n"/>
      <c r="DF181" s="15" t="n"/>
      <c r="DG181" s="15" t="n"/>
      <c r="DH181" s="15" t="n"/>
      <c r="DI181" s="15" t="n"/>
      <c r="DJ181" s="15" t="n"/>
      <c r="DK181" s="15" t="n"/>
      <c r="DL181" s="15" t="n"/>
    </row>
    <row r="182">
      <c r="A182" s="14" t="inlineStr">
        <is>
          <t>55</t>
        </is>
      </c>
      <c r="B182" s="7" t="inlineStr">
        <is>
          <t>Warrant for goods</t>
        </is>
      </c>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c r="AH182" s="15" t="n"/>
      <c r="AI182" s="15" t="n"/>
      <c r="AJ182" s="15" t="n"/>
      <c r="AK182" s="15" t="n"/>
      <c r="AL182" s="15" t="n"/>
      <c r="AM182" s="15" t="n"/>
      <c r="AN182" s="15" t="n"/>
      <c r="AO182" s="15" t="n"/>
      <c r="AP182" s="15" t="n"/>
      <c r="AQ182" s="15" t="n"/>
      <c r="AR182" s="15" t="n"/>
      <c r="AS182" s="15" t="n"/>
      <c r="AT182" s="15" t="n"/>
      <c r="AU182" s="15" t="n"/>
      <c r="AV182" s="15" t="n"/>
      <c r="AW182" s="15" t="n"/>
      <c r="AX182" s="15" t="n"/>
      <c r="AY182" s="15" t="n"/>
      <c r="AZ182" s="15" t="n"/>
      <c r="BA182" s="15" t="n"/>
      <c r="BB182" s="15" t="n"/>
      <c r="BC182" s="15" t="n"/>
      <c r="BD182" s="15" t="n"/>
      <c r="BE182" s="15" t="n"/>
      <c r="BF182" s="15" t="n"/>
      <c r="BG182" s="15" t="n"/>
      <c r="BH182" s="15" t="n"/>
      <c r="BI182" s="15" t="n"/>
      <c r="BJ182" s="15" t="n"/>
      <c r="BK182" s="15" t="n"/>
      <c r="BL182" s="15" t="n"/>
      <c r="BM182" s="15" t="n"/>
      <c r="BN182" s="15" t="n"/>
      <c r="BO182" s="15" t="n"/>
      <c r="BP182" s="15" t="n"/>
      <c r="BQ182" s="15" t="n"/>
      <c r="BR182" s="15" t="n"/>
      <c r="BS182" s="15" t="n"/>
      <c r="BT182" s="15" t="n"/>
      <c r="BU182" s="15" t="n"/>
      <c r="BV182" s="15" t="n"/>
      <c r="BW182" s="15" t="n"/>
      <c r="BX182" s="15" t="n"/>
      <c r="BY182" s="15" t="n"/>
      <c r="BZ182" s="15" t="n"/>
      <c r="CA182" s="15" t="n"/>
      <c r="CB182" s="15" t="n"/>
      <c r="CC182" s="15" t="n"/>
      <c r="CD182" s="15" t="n"/>
      <c r="CE182" s="15" t="n"/>
      <c r="CF182" s="15" t="n"/>
      <c r="CG182" s="15" t="n"/>
      <c r="CH182" s="15" t="n"/>
      <c r="CI182" s="15" t="n"/>
      <c r="CJ182" s="15" t="n"/>
      <c r="CK182" s="15" t="n"/>
      <c r="CL182" s="15" t="n"/>
      <c r="CM182" s="15" t="n"/>
      <c r="CN182" s="15" t="n"/>
      <c r="CO182" s="15" t="n"/>
      <c r="CP182" s="15" t="n"/>
      <c r="CQ182" s="15" t="n"/>
      <c r="CR182" s="15" t="n"/>
      <c r="CS182" s="15" t="n"/>
      <c r="CT182" s="15" t="n"/>
      <c r="CU182" s="15" t="n"/>
      <c r="CV182" s="15" t="n"/>
      <c r="CW182" s="15" t="n"/>
      <c r="CX182" s="15" t="n"/>
      <c r="CY182" s="15" t="n"/>
      <c r="CZ182" s="15" t="n"/>
      <c r="DA182" s="15" t="n"/>
      <c r="DB182" s="15" t="n"/>
      <c r="DC182" s="15" t="n"/>
      <c r="DD182" s="15" t="n"/>
      <c r="DE182" s="15" t="n"/>
      <c r="DF182" s="15" t="n"/>
      <c r="DG182" s="15" t="n"/>
      <c r="DH182" s="15" t="n"/>
      <c r="DI182" s="15" t="n"/>
      <c r="DJ182" s="15" t="n"/>
      <c r="DK182" s="15" t="n"/>
      <c r="DL182" s="15" t="n"/>
    </row>
  </sheetData>
  <autoFilter ref="A2:DL18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 customWidth="1" min="3" max="3"/>
    <col width="18" customWidth="1" min="4" max="4"/>
    <col width="60" customWidth="1" min="5" max="5"/>
    <col width="45" customWidth="1" min="6" max="6"/>
    <col width="40" customWidth="1" min="7" max="7"/>
  </cols>
  <sheetData>
    <row r="1" ht="32" customHeight="1">
      <c r="A1" s="6" t="inlineStr">
        <is>
          <t>Nature code</t>
        </is>
      </c>
      <c r="B1" s="6" t="inlineStr">
        <is>
          <t>Nature of document</t>
        </is>
      </c>
      <c r="C1" s="6" t="inlineStr">
        <is>
          <t>Step</t>
        </is>
      </c>
      <c r="D1" s="6" t="inlineStr">
        <is>
          <t>Input ID</t>
        </is>
      </c>
      <c r="E1" s="6" t="inlineStr">
        <is>
          <t>Question</t>
        </is>
      </c>
      <c r="F1" s="6" t="inlineStr">
        <is>
          <t>Answer</t>
        </is>
      </c>
      <c r="G1" s="6" t="inlineStr">
        <is>
          <t>Next step / Result</t>
        </is>
      </c>
    </row>
    <row r="2">
      <c r="A2" s="9" t="inlineStr">
        <is>
          <t>ALL</t>
        </is>
      </c>
      <c r="B2" s="9" t="inlineStr">
        <is>
          <t>All documents</t>
        </is>
      </c>
      <c r="C2" s="7" t="inlineStr">
        <is>
          <t>0</t>
        </is>
      </c>
      <c r="D2" s="7" t="inlineStr">
        <is>
          <t>GEN-01</t>
        </is>
      </c>
      <c r="E2" s="7" t="inlineStr">
        <is>
          <t>What does this document primarily do?</t>
        </is>
      </c>
      <c r="F2" s="7" t="inlineStr">
        <is>
          <t>Intent INT-01..INT-12</t>
        </is>
      </c>
      <c r="G2" s="7" t="inlineStr">
        <is>
          <t>Filter Nature list</t>
        </is>
      </c>
    </row>
    <row r="3">
      <c r="A3" s="9" t="inlineStr">
        <is>
          <t>ALL</t>
        </is>
      </c>
      <c r="B3" s="9" t="inlineStr">
        <is>
          <t>All documents</t>
        </is>
      </c>
      <c r="C3" s="7" t="inlineStr">
        <is>
          <t>0</t>
        </is>
      </c>
      <c r="D3" s="7" t="inlineStr">
        <is>
          <t>GEN-02</t>
        </is>
      </c>
      <c r="E3" s="7" t="inlineStr">
        <is>
          <t>Select nature of document</t>
        </is>
      </c>
      <c r="F3" s="7" t="inlineStr">
        <is>
          <t>DN-01..DN-59</t>
        </is>
      </c>
      <c r="G3" s="7" t="inlineStr">
        <is>
          <t>Go to that nature's steps</t>
        </is>
      </c>
    </row>
    <row r="4">
      <c r="A4" s="9" t="inlineStr">
        <is>
          <t>ALL</t>
        </is>
      </c>
      <c r="B4" s="9" t="inlineStr">
        <is>
          <t>All documents</t>
        </is>
      </c>
      <c r="C4" s="7" t="inlineStr">
        <is>
          <t>0</t>
        </is>
      </c>
      <c r="D4" s="7" t="inlineStr">
        <is>
          <t>-</t>
        </is>
      </c>
      <c r="E4" s="7" t="inlineStr">
        <is>
          <t>Document matches two or more descriptions?</t>
        </is>
      </c>
      <c r="F4" s="7" t="inlineStr">
        <is>
          <t>Yes</t>
        </is>
      </c>
      <c r="G4" s="7" t="inlineStr">
        <is>
          <t>Compute each; charge the highest (Sec 6)</t>
        </is>
      </c>
    </row>
    <row r="5">
      <c r="A5" s="7" t="inlineStr">
        <is>
          <t>DN-01</t>
        </is>
      </c>
      <c r="B5" s="7" t="inlineStr">
        <is>
          <t>Acknowledgement</t>
        </is>
      </c>
      <c r="C5" s="7" t="inlineStr">
        <is>
          <t>1</t>
        </is>
      </c>
      <c r="D5" s="7" t="inlineStr">
        <is>
          <t>MSC-02</t>
        </is>
      </c>
      <c r="E5" s="7" t="inlineStr">
        <is>
          <t>Acknowledgement of?</t>
        </is>
      </c>
      <c r="F5" s="7" t="inlineStr">
        <is>
          <t>Courier / consignment receipt</t>
        </is>
      </c>
      <c r="G5" s="20">
        <f>&gt; 1(ii)</f>
        <v/>
      </c>
    </row>
    <row r="6">
      <c r="A6" s="7" t="inlineStr">
        <is>
          <t>DN-01</t>
        </is>
      </c>
      <c r="B6" s="7" t="inlineStr">
        <is>
          <t>Acknowledgement</t>
        </is>
      </c>
      <c r="C6" s="7" t="inlineStr">
        <is>
          <t>1</t>
        </is>
      </c>
      <c r="D6" s="7" t="inlineStr">
        <is>
          <t>MSC-02</t>
        </is>
      </c>
      <c r="E6" s="7" t="inlineStr">
        <is>
          <t>Acknowledgement of?</t>
        </is>
      </c>
      <c r="F6" s="7" t="inlineStr">
        <is>
          <t>Debt</t>
        </is>
      </c>
      <c r="G6" s="7" t="inlineStr">
        <is>
          <t>Step 2</t>
        </is>
      </c>
    </row>
    <row r="7">
      <c r="A7" s="7" t="inlineStr">
        <is>
          <t>DN-01</t>
        </is>
      </c>
      <c r="B7" s="7" t="inlineStr">
        <is>
          <t>Acknowledgement</t>
        </is>
      </c>
      <c r="C7" s="7" t="inlineStr">
        <is>
          <t>2</t>
        </is>
      </c>
      <c r="D7" s="7" t="inlineStr">
        <is>
          <t>MSC-02</t>
        </is>
      </c>
      <c r="E7" s="7" t="inlineStr">
        <is>
          <t>Debt amount?</t>
        </is>
      </c>
      <c r="F7" s="7" t="inlineStr">
        <is>
          <t>&lt;= Rs.100</t>
        </is>
      </c>
      <c r="G7" s="7" t="inlineStr">
        <is>
          <t>Not chargeable</t>
        </is>
      </c>
    </row>
    <row r="8">
      <c r="A8" s="7" t="inlineStr">
        <is>
          <t>DN-01</t>
        </is>
      </c>
      <c r="B8" s="7" t="inlineStr">
        <is>
          <t>Acknowledgement</t>
        </is>
      </c>
      <c r="C8" s="7" t="inlineStr">
        <is>
          <t>2</t>
        </is>
      </c>
      <c r="D8" s="7" t="inlineStr">
        <is>
          <t>MSC-02</t>
        </is>
      </c>
      <c r="E8" s="7" t="inlineStr">
        <is>
          <t>Debt amount?</t>
        </is>
      </c>
      <c r="F8" s="7" t="inlineStr">
        <is>
          <t>&gt; Rs.100 and &lt;= Rs.5,000</t>
        </is>
      </c>
      <c r="G8" s="20">
        <f>&gt; 1(i)(a)</f>
        <v/>
      </c>
    </row>
    <row r="9">
      <c r="A9" s="7" t="inlineStr">
        <is>
          <t>DN-01</t>
        </is>
      </c>
      <c r="B9" s="7" t="inlineStr">
        <is>
          <t>Acknowledgement</t>
        </is>
      </c>
      <c r="C9" s="7" t="inlineStr">
        <is>
          <t>2</t>
        </is>
      </c>
      <c r="D9" s="7" t="inlineStr">
        <is>
          <t>MSC-02</t>
        </is>
      </c>
      <c r="E9" s="7" t="inlineStr">
        <is>
          <t>Debt amount?</t>
        </is>
      </c>
      <c r="F9" s="7" t="inlineStr">
        <is>
          <t>&gt; Rs.5,000</t>
        </is>
      </c>
      <c r="G9" s="20">
        <f>&gt; 1(i)(b)</f>
        <v/>
      </c>
    </row>
    <row r="10">
      <c r="A10" s="9" t="inlineStr">
        <is>
          <t>DN-02</t>
        </is>
      </c>
      <c r="B10" s="9" t="inlineStr">
        <is>
          <t>Administration Bond</t>
        </is>
      </c>
      <c r="C10" s="7" t="inlineStr">
        <is>
          <t>1</t>
        </is>
      </c>
      <c r="D10" s="7" t="inlineStr">
        <is>
          <t>MSC-01</t>
        </is>
      </c>
      <c r="E10" s="7" t="inlineStr">
        <is>
          <t>Amount secured?</t>
        </is>
      </c>
      <c r="F10" s="7" t="inlineStr">
        <is>
          <t>&lt;= Rs.1,000</t>
        </is>
      </c>
      <c r="G10" s="20">
        <f>&gt; 2(a)</f>
        <v/>
      </c>
    </row>
    <row r="11">
      <c r="A11" s="9" t="inlineStr">
        <is>
          <t>DN-02</t>
        </is>
      </c>
      <c r="B11" s="9" t="inlineStr">
        <is>
          <t>Administration Bond</t>
        </is>
      </c>
      <c r="C11" s="7" t="inlineStr">
        <is>
          <t>1</t>
        </is>
      </c>
      <c r="D11" s="7" t="inlineStr">
        <is>
          <t>MSC-01</t>
        </is>
      </c>
      <c r="E11" s="7" t="inlineStr">
        <is>
          <t>Amount secured?</t>
        </is>
      </c>
      <c r="F11" s="7" t="inlineStr">
        <is>
          <t>&gt; Rs.1,000</t>
        </is>
      </c>
      <c r="G11" s="20">
        <f>&gt; 2(b)</f>
        <v/>
      </c>
    </row>
    <row r="12">
      <c r="A12" s="7" t="inlineStr">
        <is>
          <t>DN-03</t>
        </is>
      </c>
      <c r="B12" s="7" t="inlineStr">
        <is>
          <t>Adoption Deed / Authority to Adopt</t>
        </is>
      </c>
      <c r="C12" s="7" t="inlineStr">
        <is>
          <t>1</t>
        </is>
      </c>
      <c r="D12" s="7" t="inlineStr">
        <is>
          <t>-</t>
        </is>
      </c>
      <c r="E12" s="7" t="inlineStr">
        <is>
          <t>No further question - nature decides the article</t>
        </is>
      </c>
      <c r="F12" s="7" t="inlineStr">
        <is>
          <t>-</t>
        </is>
      </c>
      <c r="G12" s="20">
        <f>&gt; 3</f>
        <v/>
      </c>
    </row>
    <row r="13">
      <c r="A13" s="9" t="inlineStr">
        <is>
          <t>DN-04</t>
        </is>
      </c>
      <c r="B13" s="9" t="inlineStr">
        <is>
          <t>Affidavit / Declaration</t>
        </is>
      </c>
      <c r="C13" s="7" t="inlineStr">
        <is>
          <t>1</t>
        </is>
      </c>
      <c r="D13" s="7" t="inlineStr">
        <is>
          <t>-</t>
        </is>
      </c>
      <c r="E13" s="7" t="inlineStr">
        <is>
          <t>No further question - nature decides the article</t>
        </is>
      </c>
      <c r="F13" s="7" t="inlineStr">
        <is>
          <t>-</t>
        </is>
      </c>
      <c r="G13" s="20">
        <f>&gt; 4</f>
        <v/>
      </c>
    </row>
    <row r="14">
      <c r="A14" s="7" t="inlineStr">
        <is>
          <t>DN-05</t>
        </is>
      </c>
      <c r="B14" s="7" t="inlineStr">
        <is>
          <t>Agreement / Memorandum of Agreement</t>
        </is>
      </c>
      <c r="C14" s="7" t="inlineStr">
        <is>
          <t>1</t>
        </is>
      </c>
      <c r="D14" s="7" t="inlineStr">
        <is>
          <t>AGR-01</t>
        </is>
      </c>
      <c r="E14" s="7" t="inlineStr">
        <is>
          <t>Agreement relates to?</t>
        </is>
      </c>
      <c r="F14" s="7" t="inlineStr">
        <is>
          <t>AS-01 Bill of exchange</t>
        </is>
      </c>
      <c r="G14" s="20">
        <f>&gt; 5(a)</f>
        <v/>
      </c>
    </row>
    <row r="15">
      <c r="A15" s="7" t="inlineStr">
        <is>
          <t>DN-05</t>
        </is>
      </c>
      <c r="B15" s="7" t="inlineStr">
        <is>
          <t>Agreement / Memorandum of Agreement</t>
        </is>
      </c>
      <c r="C15" s="7" t="inlineStr">
        <is>
          <t>1</t>
        </is>
      </c>
      <c r="D15" s="7" t="inlineStr">
        <is>
          <t>AGR-01</t>
        </is>
      </c>
      <c r="E15" s="7" t="inlineStr">
        <is>
          <t>Agreement relates to?</t>
        </is>
      </c>
      <c r="F15" s="7" t="inlineStr">
        <is>
          <t>AS-02 Govt security</t>
        </is>
      </c>
      <c r="G15" s="20">
        <f>&gt; 5(b)</f>
        <v/>
      </c>
    </row>
    <row r="16">
      <c r="A16" s="7" t="inlineStr">
        <is>
          <t>DN-05</t>
        </is>
      </c>
      <c r="B16" s="7" t="inlineStr">
        <is>
          <t>Agreement / Memorandum of Agreement</t>
        </is>
      </c>
      <c r="C16" s="7" t="inlineStr">
        <is>
          <t>1</t>
        </is>
      </c>
      <c r="D16" s="7" t="inlineStr">
        <is>
          <t>AGR-01</t>
        </is>
      </c>
      <c r="E16" s="7" t="inlineStr">
        <is>
          <t>Agreement relates to?</t>
        </is>
      </c>
      <c r="F16" s="7" t="inlineStr">
        <is>
          <t>AS-03 Shares / securities</t>
        </is>
      </c>
      <c r="G16" s="7" t="inlineStr">
        <is>
          <t>Step 2A</t>
        </is>
      </c>
    </row>
    <row r="17">
      <c r="A17" s="7" t="inlineStr">
        <is>
          <t>DN-05</t>
        </is>
      </c>
      <c r="B17" s="7" t="inlineStr">
        <is>
          <t>Agreement / Memorandum of Agreement</t>
        </is>
      </c>
      <c r="C17" s="7" t="inlineStr">
        <is>
          <t>2A</t>
        </is>
      </c>
      <c r="D17" s="7" t="inlineStr">
        <is>
          <t>AGR-07</t>
        </is>
      </c>
      <c r="E17" s="7" t="inlineStr">
        <is>
          <t>With / through member of recognised stock exchange?</t>
        </is>
      </c>
      <c r="F17" s="7" t="inlineStr">
        <is>
          <t>Yes</t>
        </is>
      </c>
      <c r="G17" s="20">
        <f>&gt; 5(c)(i)</f>
        <v/>
      </c>
    </row>
    <row r="18">
      <c r="A18" s="7" t="inlineStr">
        <is>
          <t>DN-05</t>
        </is>
      </c>
      <c r="B18" s="7" t="inlineStr">
        <is>
          <t>Agreement / Memorandum of Agreement</t>
        </is>
      </c>
      <c r="C18" s="7" t="inlineStr">
        <is>
          <t>2A</t>
        </is>
      </c>
      <c r="D18" s="7" t="inlineStr">
        <is>
          <t>AGR-07</t>
        </is>
      </c>
      <c r="E18" s="7" t="inlineStr">
        <is>
          <t>With / through member of recognised stock exchange?</t>
        </is>
      </c>
      <c r="F18" s="7" t="inlineStr">
        <is>
          <t>No</t>
        </is>
      </c>
      <c r="G18" s="20">
        <f>&gt; 5(c)(ii)</f>
        <v/>
      </c>
    </row>
    <row r="19">
      <c r="A19" s="7" t="inlineStr">
        <is>
          <t>DN-05</t>
        </is>
      </c>
      <c r="B19" s="7" t="inlineStr">
        <is>
          <t>Agreement / Memorandum of Agreement</t>
        </is>
      </c>
      <c r="C19" s="7" t="inlineStr">
        <is>
          <t>1</t>
        </is>
      </c>
      <c r="D19" s="7" t="inlineStr">
        <is>
          <t>AGR-01</t>
        </is>
      </c>
      <c r="E19" s="7" t="inlineStr">
        <is>
          <t>Agreement relates to?</t>
        </is>
      </c>
      <c r="F19" s="7" t="inlineStr">
        <is>
          <t>AS-04 Lease-cum-sale by authority</t>
        </is>
      </c>
      <c r="G19" s="7" t="inlineStr">
        <is>
          <t>Step 2B</t>
        </is>
      </c>
    </row>
    <row r="20">
      <c r="A20" s="7" t="inlineStr">
        <is>
          <t>DN-05</t>
        </is>
      </c>
      <c r="B20" s="7" t="inlineStr">
        <is>
          <t>Agreement / Memorandum of Agreement</t>
        </is>
      </c>
      <c r="C20" s="7" t="inlineStr">
        <is>
          <t>2B</t>
        </is>
      </c>
      <c r="D20" s="7" t="inlineStr">
        <is>
          <t>AGR-04</t>
        </is>
      </c>
      <c r="E20" s="7" t="inlineStr">
        <is>
          <t>Allotting authority is a listed / notified authority?</t>
        </is>
      </c>
      <c r="F20" s="7" t="inlineStr">
        <is>
          <t>Yes</t>
        </is>
      </c>
      <c r="G20" s="20">
        <f>&gt; 5(d)</f>
        <v/>
      </c>
    </row>
    <row r="21">
      <c r="A21" s="7" t="inlineStr">
        <is>
          <t>DN-05</t>
        </is>
      </c>
      <c r="B21" s="7" t="inlineStr">
        <is>
          <t>Agreement / Memorandum of Agreement</t>
        </is>
      </c>
      <c r="C21" s="7" t="inlineStr">
        <is>
          <t>2B</t>
        </is>
      </c>
      <c r="D21" s="7" t="inlineStr">
        <is>
          <t>AGR-04</t>
        </is>
      </c>
      <c r="E21" s="7" t="inlineStr">
        <is>
          <t>Allotting authority is a listed / notified authority?</t>
        </is>
      </c>
      <c r="F21" s="7" t="inlineStr">
        <is>
          <t>No (private)</t>
        </is>
      </c>
      <c r="G21" s="7" t="inlineStr">
        <is>
          <t>Treat as sale agreement -&gt; AS-06</t>
        </is>
      </c>
    </row>
    <row r="22">
      <c r="A22" s="7" t="inlineStr">
        <is>
          <t>DN-05</t>
        </is>
      </c>
      <c r="B22" s="7" t="inlineStr">
        <is>
          <t>Agreement / Memorandum of Agreement</t>
        </is>
      </c>
      <c r="C22" s="7" t="inlineStr">
        <is>
          <t>1</t>
        </is>
      </c>
      <c r="D22" s="7" t="inlineStr">
        <is>
          <t>AGR-01</t>
        </is>
      </c>
      <c r="E22" s="7" t="inlineStr">
        <is>
          <t>Agreement relates to?</t>
        </is>
      </c>
      <c r="F22" s="7" t="inlineStr">
        <is>
          <t>AS-05 LCS of Flat by BDA / KHB</t>
        </is>
      </c>
      <c r="G22" s="20">
        <f>&gt; 5(da)</f>
        <v/>
      </c>
    </row>
    <row r="23">
      <c r="A23" s="7" t="inlineStr">
        <is>
          <t>DN-05</t>
        </is>
      </c>
      <c r="B23" s="7" t="inlineStr">
        <is>
          <t>Agreement / Memorandum of Agreement</t>
        </is>
      </c>
      <c r="C23" s="7" t="inlineStr">
        <is>
          <t>1</t>
        </is>
      </c>
      <c r="D23" s="7" t="inlineStr">
        <is>
          <t>AGR-01</t>
        </is>
      </c>
      <c r="E23" s="7" t="inlineStr">
        <is>
          <t>Agreement relates to?</t>
        </is>
      </c>
      <c r="F23" s="7" t="inlineStr">
        <is>
          <t>AS-06 Sale of immovable property</t>
        </is>
      </c>
      <c r="G23" s="7" t="inlineStr">
        <is>
          <t>Step 2C</t>
        </is>
      </c>
    </row>
    <row r="24">
      <c r="A24" s="7" t="inlineStr">
        <is>
          <t>DN-05</t>
        </is>
      </c>
      <c r="B24" s="7" t="inlineStr">
        <is>
          <t>Agreement / Memorandum of Agreement</t>
        </is>
      </c>
      <c r="C24" s="7" t="inlineStr">
        <is>
          <t>2C</t>
        </is>
      </c>
      <c r="D24" s="7" t="inlineStr">
        <is>
          <t>AGR-02 / AGR-03</t>
        </is>
      </c>
      <c r="E24" s="7" t="inlineStr">
        <is>
          <t>Possession delivered / agreed before conveyance, OR separate POA seller-&gt;purchaser referred?</t>
        </is>
      </c>
      <c r="F24" s="7" t="inlineStr">
        <is>
          <t>Yes</t>
        </is>
      </c>
      <c r="G24" s="20">
        <f>&gt; 5(e)(i)</f>
        <v/>
      </c>
    </row>
    <row r="25">
      <c r="A25" s="7" t="inlineStr">
        <is>
          <t>DN-05</t>
        </is>
      </c>
      <c r="B25" s="7" t="inlineStr">
        <is>
          <t>Agreement / Memorandum of Agreement</t>
        </is>
      </c>
      <c r="C25" s="7" t="inlineStr">
        <is>
          <t>2C</t>
        </is>
      </c>
      <c r="D25" s="7" t="inlineStr">
        <is>
          <t>AGR-02 / AGR-03</t>
        </is>
      </c>
      <c r="E25" s="7" t="inlineStr">
        <is>
          <t>Possession delivered / agreed before conveyance, OR separate POA seller-&gt;purchaser referred?</t>
        </is>
      </c>
      <c r="F25" s="7" t="inlineStr">
        <is>
          <t>No</t>
        </is>
      </c>
      <c r="G25" s="20">
        <f>&gt; 5(e)(ii)</f>
        <v/>
      </c>
    </row>
    <row r="26">
      <c r="A26" s="7" t="inlineStr">
        <is>
          <t>DN-05</t>
        </is>
      </c>
      <c r="B26" s="7" t="inlineStr">
        <is>
          <t>Agreement / Memorandum of Agreement</t>
        </is>
      </c>
      <c r="C26" s="7" t="inlineStr">
        <is>
          <t>1</t>
        </is>
      </c>
      <c r="D26" s="7" t="inlineStr">
        <is>
          <t>AGR-01</t>
        </is>
      </c>
      <c r="E26" s="7" t="inlineStr">
        <is>
          <t>Agreement relates to?</t>
        </is>
      </c>
      <c r="F26" s="7" t="inlineStr">
        <is>
          <t>AS-07 Joint development / construction</t>
        </is>
      </c>
      <c r="G26" s="20">
        <f>&gt; 5(f)</f>
        <v/>
      </c>
    </row>
    <row r="27">
      <c r="A27" s="7" t="inlineStr">
        <is>
          <t>DN-05</t>
        </is>
      </c>
      <c r="B27" s="7" t="inlineStr">
        <is>
          <t>Agreement / Memorandum of Agreement</t>
        </is>
      </c>
      <c r="C27" s="7" t="inlineStr">
        <is>
          <t>1</t>
        </is>
      </c>
      <c r="D27" s="7" t="inlineStr">
        <is>
          <t>AGR-01</t>
        </is>
      </c>
      <c r="E27" s="7" t="inlineStr">
        <is>
          <t>Agreement relates to?</t>
        </is>
      </c>
      <c r="F27" s="7" t="inlineStr">
        <is>
          <t>AS-08 Sale of movable property</t>
        </is>
      </c>
      <c r="G27" s="7" t="inlineStr">
        <is>
          <t>Step 2D</t>
        </is>
      </c>
    </row>
    <row r="28">
      <c r="A28" s="7" t="inlineStr">
        <is>
          <t>DN-05</t>
        </is>
      </c>
      <c r="B28" s="7" t="inlineStr">
        <is>
          <t>Agreement / Memorandum of Agreement</t>
        </is>
      </c>
      <c r="C28" s="7" t="inlineStr">
        <is>
          <t>2D</t>
        </is>
      </c>
      <c r="D28" s="7" t="inlineStr">
        <is>
          <t>AGR-02</t>
        </is>
      </c>
      <c r="E28" s="7" t="inlineStr">
        <is>
          <t>Possession delivered / agreed without conveyance?</t>
        </is>
      </c>
      <c r="F28" s="7" t="inlineStr">
        <is>
          <t>Yes</t>
        </is>
      </c>
      <c r="G28" s="20">
        <f>&gt; 5(g)(i)</f>
        <v/>
      </c>
    </row>
    <row r="29">
      <c r="A29" s="7" t="inlineStr">
        <is>
          <t>DN-05</t>
        </is>
      </c>
      <c r="B29" s="7" t="inlineStr">
        <is>
          <t>Agreement / Memorandum of Agreement</t>
        </is>
      </c>
      <c r="C29" s="7" t="inlineStr">
        <is>
          <t>2D</t>
        </is>
      </c>
      <c r="D29" s="7" t="inlineStr">
        <is>
          <t>AGR-02</t>
        </is>
      </c>
      <c r="E29" s="7" t="inlineStr">
        <is>
          <t>Possession delivered / agreed without conveyance?</t>
        </is>
      </c>
      <c r="F29" s="7" t="inlineStr">
        <is>
          <t>No</t>
        </is>
      </c>
      <c r="G29" s="20">
        <f>&gt; 5(g)(ii)</f>
        <v/>
      </c>
    </row>
    <row r="30">
      <c r="A30" s="7" t="inlineStr">
        <is>
          <t>DN-05</t>
        </is>
      </c>
      <c r="B30" s="7" t="inlineStr">
        <is>
          <t>Agreement / Memorandum of Agreement</t>
        </is>
      </c>
      <c r="C30" s="7" t="inlineStr">
        <is>
          <t>1</t>
        </is>
      </c>
      <c r="D30" s="7" t="inlineStr">
        <is>
          <t>AGR-01</t>
        </is>
      </c>
      <c r="E30" s="7" t="inlineStr">
        <is>
          <t>Agreement relates to?</t>
        </is>
      </c>
      <c r="F30" s="7" t="inlineStr">
        <is>
          <t>AS-09 Mortgage</t>
        </is>
      </c>
      <c r="G30" s="20">
        <f>&gt; 5(h) (then 34(a)/(b) by LON-04)</f>
        <v/>
      </c>
    </row>
    <row r="31">
      <c r="A31" s="7" t="inlineStr">
        <is>
          <t>DN-05</t>
        </is>
      </c>
      <c r="B31" s="7" t="inlineStr">
        <is>
          <t>Agreement / Memorandum of Agreement</t>
        </is>
      </c>
      <c r="C31" s="7" t="inlineStr">
        <is>
          <t>1</t>
        </is>
      </c>
      <c r="D31" s="7" t="inlineStr">
        <is>
          <t>AGR-01</t>
        </is>
      </c>
      <c r="E31" s="7" t="inlineStr">
        <is>
          <t>Agreement relates to?</t>
        </is>
      </c>
      <c r="F31" s="7" t="inlineStr">
        <is>
          <t>AS-10 Demat</t>
        </is>
      </c>
      <c r="G31" s="20">
        <f>&gt; 5(i)</f>
        <v/>
      </c>
    </row>
    <row r="32">
      <c r="A32" s="7" t="inlineStr">
        <is>
          <t>DN-05</t>
        </is>
      </c>
      <c r="B32" s="7" t="inlineStr">
        <is>
          <t>Agreement / Memorandum of Agreement</t>
        </is>
      </c>
      <c r="C32" s="7" t="inlineStr">
        <is>
          <t>1</t>
        </is>
      </c>
      <c r="D32" s="7" t="inlineStr">
        <is>
          <t>AGR-01</t>
        </is>
      </c>
      <c r="E32" s="7" t="inlineStr">
        <is>
          <t>Agreement relates to?</t>
        </is>
      </c>
      <c r="F32" s="7" t="inlineStr">
        <is>
          <t>AS-11 Stock broker - client</t>
        </is>
      </c>
      <c r="G32" s="20">
        <f>&gt; 5(i-a)</f>
        <v/>
      </c>
    </row>
    <row r="33">
      <c r="A33" s="7" t="inlineStr">
        <is>
          <t>DN-05</t>
        </is>
      </c>
      <c r="B33" s="7" t="inlineStr">
        <is>
          <t>Agreement / Memorandum of Agreement</t>
        </is>
      </c>
      <c r="C33" s="7" t="inlineStr">
        <is>
          <t>1</t>
        </is>
      </c>
      <c r="D33" s="7" t="inlineStr">
        <is>
          <t>AGR-01</t>
        </is>
      </c>
      <c r="E33" s="7" t="inlineStr">
        <is>
          <t>Agreement relates to?</t>
        </is>
      </c>
      <c r="F33" s="7" t="inlineStr">
        <is>
          <t>AS-12 Advertisement</t>
        </is>
      </c>
      <c r="G33" s="20">
        <f>&gt; 5(i-b)</f>
        <v/>
      </c>
    </row>
    <row r="34">
      <c r="A34" s="7" t="inlineStr">
        <is>
          <t>DN-05</t>
        </is>
      </c>
      <c r="B34" s="7" t="inlineStr">
        <is>
          <t>Agreement / Memorandum of Agreement</t>
        </is>
      </c>
      <c r="C34" s="7" t="inlineStr">
        <is>
          <t>1</t>
        </is>
      </c>
      <c r="D34" s="7" t="inlineStr">
        <is>
          <t>AGR-01</t>
        </is>
      </c>
      <c r="E34" s="7" t="inlineStr">
        <is>
          <t>Agreement relates to?</t>
        </is>
      </c>
      <c r="F34" s="7" t="inlineStr">
        <is>
          <t>AS-13 IPR assignment</t>
        </is>
      </c>
      <c r="G34" s="20">
        <f>&gt; 5(i-c)</f>
        <v/>
      </c>
    </row>
    <row r="35">
      <c r="A35" s="7" t="inlineStr">
        <is>
          <t>DN-05</t>
        </is>
      </c>
      <c r="B35" s="7" t="inlineStr">
        <is>
          <t>Agreement / Memorandum of Agreement</t>
        </is>
      </c>
      <c r="C35" s="7" t="inlineStr">
        <is>
          <t>1</t>
        </is>
      </c>
      <c r="D35" s="7" t="inlineStr">
        <is>
          <t>AGR-01</t>
        </is>
      </c>
      <c r="E35" s="7" t="inlineStr">
        <is>
          <t>Agreement relates to?</t>
        </is>
      </c>
      <c r="F35" s="7" t="inlineStr">
        <is>
          <t>AS-14 Works contract</t>
        </is>
      </c>
      <c r="G35" s="7" t="inlineStr">
        <is>
          <t>Step 2E</t>
        </is>
      </c>
    </row>
    <row r="36">
      <c r="A36" s="7" t="inlineStr">
        <is>
          <t>DN-05</t>
        </is>
      </c>
      <c r="B36" s="7" t="inlineStr">
        <is>
          <t>Agreement / Memorandum of Agreement</t>
        </is>
      </c>
      <c r="C36" s="7" t="inlineStr">
        <is>
          <t>2E</t>
        </is>
      </c>
      <c r="D36" s="7" t="inlineStr">
        <is>
          <t>AGR-10</t>
        </is>
      </c>
      <c r="E36" s="7" t="inlineStr">
        <is>
          <t>Contract amount?</t>
        </is>
      </c>
      <c r="F36" s="7" t="inlineStr">
        <is>
          <t>&lt;= Rs.10 lakh</t>
        </is>
      </c>
      <c r="G36" s="20">
        <f>&gt; 5(i-d)(i)</f>
        <v/>
      </c>
    </row>
    <row r="37">
      <c r="A37" s="7" t="inlineStr">
        <is>
          <t>DN-05</t>
        </is>
      </c>
      <c r="B37" s="7" t="inlineStr">
        <is>
          <t>Agreement / Memorandum of Agreement</t>
        </is>
      </c>
      <c r="C37" s="7" t="inlineStr">
        <is>
          <t>2E</t>
        </is>
      </c>
      <c r="D37" s="7" t="inlineStr">
        <is>
          <t>AGR-10</t>
        </is>
      </c>
      <c r="E37" s="7" t="inlineStr">
        <is>
          <t>Contract amount?</t>
        </is>
      </c>
      <c r="F37" s="7" t="inlineStr">
        <is>
          <t>&gt; Rs.10 lakh</t>
        </is>
      </c>
      <c r="G37" s="20">
        <f>&gt; 5(i-d)(ii)</f>
        <v/>
      </c>
    </row>
    <row r="38">
      <c r="A38" s="7" t="inlineStr">
        <is>
          <t>DN-05</t>
        </is>
      </c>
      <c r="B38" s="7" t="inlineStr">
        <is>
          <t>Agreement / Memorandum of Agreement</t>
        </is>
      </c>
      <c r="C38" s="7" t="inlineStr">
        <is>
          <t>1</t>
        </is>
      </c>
      <c r="D38" s="7" t="inlineStr">
        <is>
          <t>AGR-01</t>
        </is>
      </c>
      <c r="E38" s="7" t="inlineStr">
        <is>
          <t>Agreement relates to?</t>
        </is>
      </c>
      <c r="F38" s="7" t="inlineStr">
        <is>
          <t>AS-15 Chit</t>
        </is>
      </c>
      <c r="G38" s="7" t="inlineStr">
        <is>
          <t>Step 2F</t>
        </is>
      </c>
    </row>
    <row r="39">
      <c r="A39" s="7" t="inlineStr">
        <is>
          <t>DN-05</t>
        </is>
      </c>
      <c r="B39" s="7" t="inlineStr">
        <is>
          <t>Agreement / Memorandum of Agreement</t>
        </is>
      </c>
      <c r="C39" s="7" t="inlineStr">
        <is>
          <t>2F</t>
        </is>
      </c>
      <c r="D39" s="7" t="inlineStr">
        <is>
          <t>AGR-09</t>
        </is>
      </c>
      <c r="E39" s="7" t="inlineStr">
        <is>
          <t>Chit value?</t>
        </is>
      </c>
      <c r="F39" s="7" t="inlineStr">
        <is>
          <t>&lt;= Rs.1 lakh</t>
        </is>
      </c>
      <c r="G39" s="20">
        <f>&gt; 5(i-e)(i)</f>
        <v/>
      </c>
    </row>
    <row r="40">
      <c r="A40" s="7" t="inlineStr">
        <is>
          <t>DN-05</t>
        </is>
      </c>
      <c r="B40" s="7" t="inlineStr">
        <is>
          <t>Agreement / Memorandum of Agreement</t>
        </is>
      </c>
      <c r="C40" s="7" t="inlineStr">
        <is>
          <t>2F</t>
        </is>
      </c>
      <c r="D40" s="7" t="inlineStr">
        <is>
          <t>AGR-09</t>
        </is>
      </c>
      <c r="E40" s="7" t="inlineStr">
        <is>
          <t>Chit value?</t>
        </is>
      </c>
      <c r="F40" s="7" t="inlineStr">
        <is>
          <t>&gt; Rs.1 lakh</t>
        </is>
      </c>
      <c r="G40" s="20">
        <f>&gt; 5(i-e)(ii)</f>
        <v/>
      </c>
    </row>
    <row r="41">
      <c r="A41" s="7" t="inlineStr">
        <is>
          <t>DN-05</t>
        </is>
      </c>
      <c r="B41" s="7" t="inlineStr">
        <is>
          <t>Agreement / Memorandum of Agreement</t>
        </is>
      </c>
      <c r="C41" s="7" t="inlineStr">
        <is>
          <t>1</t>
        </is>
      </c>
      <c r="D41" s="7" t="inlineStr">
        <is>
          <t>AGR-01</t>
        </is>
      </c>
      <c r="E41" s="7" t="inlineStr">
        <is>
          <t>Agreement relates to?</t>
        </is>
      </c>
      <c r="F41" s="7" t="inlineStr">
        <is>
          <t>AS-16 Other</t>
        </is>
      </c>
      <c r="G41" s="20">
        <f>&gt; 5(j)</f>
        <v/>
      </c>
    </row>
    <row r="42">
      <c r="A42" s="9" t="inlineStr">
        <is>
          <t>DN-06</t>
        </is>
      </c>
      <c r="B42" s="9" t="inlineStr">
        <is>
          <t>Deposit of Title Deeds / Pawn / Pledge</t>
        </is>
      </c>
      <c r="C42" s="7" t="inlineStr">
        <is>
          <t>1</t>
        </is>
      </c>
      <c r="D42" s="7" t="inlineStr">
        <is>
          <t>LON-03</t>
        </is>
      </c>
      <c r="E42" s="7" t="inlineStr">
        <is>
          <t>Security is?</t>
        </is>
      </c>
      <c r="F42" s="7" t="inlineStr">
        <is>
          <t>Deposit of title deeds</t>
        </is>
      </c>
      <c r="G42" s="7" t="inlineStr">
        <is>
          <t>Step 2A</t>
        </is>
      </c>
    </row>
    <row r="43">
      <c r="A43" s="9" t="inlineStr">
        <is>
          <t>DN-06</t>
        </is>
      </c>
      <c r="B43" s="9" t="inlineStr">
        <is>
          <t>Deposit of Title Deeds / Pawn / Pledge</t>
        </is>
      </c>
      <c r="C43" s="7" t="inlineStr">
        <is>
          <t>2A</t>
        </is>
      </c>
      <c r="D43" s="7" t="inlineStr">
        <is>
          <t>LON-01</t>
        </is>
      </c>
      <c r="E43" s="7" t="inlineStr">
        <is>
          <t>Loan amount?</t>
        </is>
      </c>
      <c r="F43" s="7" t="inlineStr">
        <is>
          <t>&lt;= Rs.10 lakh</t>
        </is>
      </c>
      <c r="G43" s="20">
        <f>&gt; 6(1)(i)</f>
        <v/>
      </c>
    </row>
    <row r="44">
      <c r="A44" s="9" t="inlineStr">
        <is>
          <t>DN-06</t>
        </is>
      </c>
      <c r="B44" s="9" t="inlineStr">
        <is>
          <t>Deposit of Title Deeds / Pawn / Pledge</t>
        </is>
      </c>
      <c r="C44" s="7" t="inlineStr">
        <is>
          <t>2A</t>
        </is>
      </c>
      <c r="D44" s="7" t="inlineStr">
        <is>
          <t>LON-01</t>
        </is>
      </c>
      <c r="E44" s="7" t="inlineStr">
        <is>
          <t>Loan amount?</t>
        </is>
      </c>
      <c r="F44" s="7" t="inlineStr">
        <is>
          <t>&gt; Rs.10 lakh</t>
        </is>
      </c>
      <c r="G44" s="20">
        <f>&gt; 6(1)(ii)</f>
        <v/>
      </c>
    </row>
    <row r="45">
      <c r="A45" s="9" t="inlineStr">
        <is>
          <t>DN-06</t>
        </is>
      </c>
      <c r="B45" s="9" t="inlineStr">
        <is>
          <t>Deposit of Title Deeds / Pawn / Pledge</t>
        </is>
      </c>
      <c r="C45" s="7" t="inlineStr">
        <is>
          <t>1</t>
        </is>
      </c>
      <c r="D45" s="7" t="inlineStr">
        <is>
          <t>LON-03</t>
        </is>
      </c>
      <c r="E45" s="7" t="inlineStr">
        <is>
          <t>Security is?</t>
        </is>
      </c>
      <c r="F45" s="7" t="inlineStr">
        <is>
          <t>Pawn / pledge of movable</t>
        </is>
      </c>
      <c r="G45" s="7" t="inlineStr">
        <is>
          <t>Step 2B</t>
        </is>
      </c>
    </row>
    <row r="46">
      <c r="A46" s="9" t="inlineStr">
        <is>
          <t>DN-06</t>
        </is>
      </c>
      <c r="B46" s="9" t="inlineStr">
        <is>
          <t>Deposit of Title Deeds / Pawn / Pledge</t>
        </is>
      </c>
      <c r="C46" s="7" t="inlineStr">
        <is>
          <t>2B</t>
        </is>
      </c>
      <c r="D46" s="7" t="inlineStr">
        <is>
          <t>LON-11</t>
        </is>
      </c>
      <c r="E46" s="7" t="inlineStr">
        <is>
          <t>Fresh instrument for same loan, same parties, earlier duty paid?</t>
        </is>
      </c>
      <c r="F46" s="7" t="inlineStr">
        <is>
          <t>Yes</t>
        </is>
      </c>
      <c r="G46" s="20">
        <f>&gt; 5(j)</f>
        <v/>
      </c>
    </row>
    <row r="47">
      <c r="A47" s="9" t="inlineStr">
        <is>
          <t>DN-06</t>
        </is>
      </c>
      <c r="B47" s="9" t="inlineStr">
        <is>
          <t>Deposit of Title Deeds / Pawn / Pledge</t>
        </is>
      </c>
      <c r="C47" s="7" t="inlineStr">
        <is>
          <t>2B</t>
        </is>
      </c>
      <c r="D47" s="7" t="inlineStr">
        <is>
          <t>LON-11</t>
        </is>
      </c>
      <c r="E47" s="7" t="inlineStr">
        <is>
          <t>Fresh instrument for same loan, same parties, earlier duty paid?</t>
        </is>
      </c>
      <c r="F47" s="7" t="inlineStr">
        <is>
          <t>No</t>
        </is>
      </c>
      <c r="G47" s="7" t="inlineStr">
        <is>
          <t>Step 3</t>
        </is>
      </c>
    </row>
    <row r="48">
      <c r="A48" s="9" t="inlineStr">
        <is>
          <t>DN-06</t>
        </is>
      </c>
      <c r="B48" s="9" t="inlineStr">
        <is>
          <t>Deposit of Title Deeds / Pawn / Pledge</t>
        </is>
      </c>
      <c r="C48" s="7" t="inlineStr">
        <is>
          <t>3</t>
        </is>
      </c>
      <c r="D48" s="7" t="inlineStr">
        <is>
          <t>LON-01 / LON-13</t>
        </is>
      </c>
      <c r="E48" s="7" t="inlineStr">
        <is>
          <t>Loan amount?</t>
        </is>
      </c>
      <c r="F48" s="7" t="inlineStr">
        <is>
          <t>&lt;= Rs.1 lakh and goods / jewels</t>
        </is>
      </c>
      <c r="G48" s="20">
        <f>&gt; 6(2)-Exempt</f>
        <v/>
      </c>
    </row>
    <row r="49">
      <c r="A49" s="9" t="inlineStr">
        <is>
          <t>DN-06</t>
        </is>
      </c>
      <c r="B49" s="9" t="inlineStr">
        <is>
          <t>Deposit of Title Deeds / Pawn / Pledge</t>
        </is>
      </c>
      <c r="C49" s="7" t="inlineStr">
        <is>
          <t>3</t>
        </is>
      </c>
      <c r="D49" s="7" t="inlineStr">
        <is>
          <t>LON-01</t>
        </is>
      </c>
      <c r="E49" s="7" t="inlineStr">
        <is>
          <t>Loan amount?</t>
        </is>
      </c>
      <c r="F49" s="7" t="inlineStr">
        <is>
          <t>&gt; Rs.1 lakh and &lt;= Rs.10 lakh</t>
        </is>
      </c>
      <c r="G49" s="20">
        <f>&gt; 6(2)(i)</f>
        <v/>
      </c>
    </row>
    <row r="50">
      <c r="A50" s="9" t="inlineStr">
        <is>
          <t>DN-06</t>
        </is>
      </c>
      <c r="B50" s="9" t="inlineStr">
        <is>
          <t>Deposit of Title Deeds / Pawn / Pledge</t>
        </is>
      </c>
      <c r="C50" s="7" t="inlineStr">
        <is>
          <t>3</t>
        </is>
      </c>
      <c r="D50" s="7" t="inlineStr">
        <is>
          <t>LON-01</t>
        </is>
      </c>
      <c r="E50" s="7" t="inlineStr">
        <is>
          <t>Loan amount?</t>
        </is>
      </c>
      <c r="F50" s="7" t="inlineStr">
        <is>
          <t>&gt; Rs.10 lakh</t>
        </is>
      </c>
      <c r="G50" s="20">
        <f>&gt; 6(2)(ii)</f>
        <v/>
      </c>
    </row>
    <row r="51">
      <c r="A51" s="7" t="inlineStr">
        <is>
          <t>DN-07</t>
        </is>
      </c>
      <c r="B51" s="7" t="inlineStr">
        <is>
          <t>Appointment in Execution of a Power</t>
        </is>
      </c>
      <c r="C51" s="7" t="inlineStr">
        <is>
          <t>1</t>
        </is>
      </c>
      <c r="D51" s="7" t="inlineStr">
        <is>
          <t>-</t>
        </is>
      </c>
      <c r="E51" s="7" t="inlineStr">
        <is>
          <t>No further question - nature decides the article</t>
        </is>
      </c>
      <c r="F51" s="7" t="inlineStr">
        <is>
          <t>-</t>
        </is>
      </c>
      <c r="G51" s="20">
        <f>&gt; 7</f>
        <v/>
      </c>
    </row>
    <row r="52">
      <c r="A52" s="9" t="inlineStr">
        <is>
          <t>DN-08</t>
        </is>
      </c>
      <c r="B52" s="9" t="inlineStr">
        <is>
          <t>Appraisement / Valuation</t>
        </is>
      </c>
      <c r="C52" s="7" t="inlineStr">
        <is>
          <t>1</t>
        </is>
      </c>
      <c r="D52" s="7" t="inlineStr">
        <is>
          <t>MSC-01</t>
        </is>
      </c>
      <c r="E52" s="7" t="inlineStr">
        <is>
          <t>Appraised amount?</t>
        </is>
      </c>
      <c r="F52" s="7" t="inlineStr">
        <is>
          <t>&lt;= Rs.1,000</t>
        </is>
      </c>
      <c r="G52" s="20">
        <f>&gt; 8(a)</f>
        <v/>
      </c>
    </row>
    <row r="53">
      <c r="A53" s="9" t="inlineStr">
        <is>
          <t>DN-08</t>
        </is>
      </c>
      <c r="B53" s="9" t="inlineStr">
        <is>
          <t>Appraisement / Valuation</t>
        </is>
      </c>
      <c r="C53" s="7" t="inlineStr">
        <is>
          <t>1</t>
        </is>
      </c>
      <c r="D53" s="7" t="inlineStr">
        <is>
          <t>MSC-01</t>
        </is>
      </c>
      <c r="E53" s="7" t="inlineStr">
        <is>
          <t>Appraised amount?</t>
        </is>
      </c>
      <c r="F53" s="7" t="inlineStr">
        <is>
          <t>&gt; Rs.1,000</t>
        </is>
      </c>
      <c r="G53" s="20">
        <f>&gt; 8(b)</f>
        <v/>
      </c>
    </row>
    <row r="54">
      <c r="A54" s="7" t="inlineStr">
        <is>
          <t>DN-09</t>
        </is>
      </c>
      <c r="B54" s="7" t="inlineStr">
        <is>
          <t>Apprenticeship Deed</t>
        </is>
      </c>
      <c r="C54" s="7" t="inlineStr">
        <is>
          <t>1</t>
        </is>
      </c>
      <c r="D54" s="7" t="inlineStr">
        <is>
          <t>-</t>
        </is>
      </c>
      <c r="E54" s="7" t="inlineStr">
        <is>
          <t>No further question - nature decides the article</t>
        </is>
      </c>
      <c r="F54" s="7" t="inlineStr">
        <is>
          <t>-</t>
        </is>
      </c>
      <c r="G54" s="20">
        <f>&gt; 9</f>
        <v/>
      </c>
    </row>
    <row r="55">
      <c r="A55" s="9" t="inlineStr">
        <is>
          <t>DN-10</t>
        </is>
      </c>
      <c r="B55" s="9" t="inlineStr">
        <is>
          <t>Articles of Association</t>
        </is>
      </c>
      <c r="C55" s="7" t="inlineStr">
        <is>
          <t>1</t>
        </is>
      </c>
      <c r="D55" s="7" t="inlineStr">
        <is>
          <t>-</t>
        </is>
      </c>
      <c r="E55" s="7" t="inlineStr">
        <is>
          <t>No further question - nature decides the article</t>
        </is>
      </c>
      <c r="F55" s="7" t="inlineStr">
        <is>
          <t>-</t>
        </is>
      </c>
      <c r="G55" s="20">
        <f>&gt; 10</f>
        <v/>
      </c>
    </row>
    <row r="56">
      <c r="A56" s="7" t="inlineStr">
        <is>
          <t>DN-11</t>
        </is>
      </c>
      <c r="B56" s="7" t="inlineStr">
        <is>
          <t>Award (Arbitration)</t>
        </is>
      </c>
      <c r="C56" s="7" t="inlineStr">
        <is>
          <t>1</t>
        </is>
      </c>
      <c r="D56" s="7" t="inlineStr">
        <is>
          <t>MSC-06</t>
        </is>
      </c>
      <c r="E56" s="7" t="inlineStr">
        <is>
          <t>Subject of award?</t>
        </is>
      </c>
      <c r="F56" s="7" t="inlineStr">
        <is>
          <t>Immovable</t>
        </is>
      </c>
      <c r="G56" s="20">
        <f>&gt; 11(a)</f>
        <v/>
      </c>
    </row>
    <row r="57">
      <c r="A57" s="7" t="inlineStr">
        <is>
          <t>DN-11</t>
        </is>
      </c>
      <c r="B57" s="7" t="inlineStr">
        <is>
          <t>Award (Arbitration)</t>
        </is>
      </c>
      <c r="C57" s="7" t="inlineStr">
        <is>
          <t>1</t>
        </is>
      </c>
      <c r="D57" s="7" t="inlineStr">
        <is>
          <t>MSC-06</t>
        </is>
      </c>
      <c r="E57" s="7" t="inlineStr">
        <is>
          <t>Subject of award?</t>
        </is>
      </c>
      <c r="F57" s="7" t="inlineStr">
        <is>
          <t>Movable, value &lt;= Rs.50 lakh</t>
        </is>
      </c>
      <c r="G57" s="20">
        <f>&gt; 11(b)(i)</f>
        <v/>
      </c>
    </row>
    <row r="58">
      <c r="A58" s="7" t="inlineStr">
        <is>
          <t>DN-11</t>
        </is>
      </c>
      <c r="B58" s="7" t="inlineStr">
        <is>
          <t>Award (Arbitration)</t>
        </is>
      </c>
      <c r="C58" s="7" t="inlineStr">
        <is>
          <t>1</t>
        </is>
      </c>
      <c r="D58" s="7" t="inlineStr">
        <is>
          <t>MSC-06</t>
        </is>
      </c>
      <c r="E58" s="7" t="inlineStr">
        <is>
          <t>Subject of award?</t>
        </is>
      </c>
      <c r="F58" s="7" t="inlineStr">
        <is>
          <t>Movable, Rs.50 lakh - Rs.5 crore</t>
        </is>
      </c>
      <c r="G58" s="20">
        <f>&gt; 11(b)(ii)</f>
        <v/>
      </c>
    </row>
    <row r="59">
      <c r="A59" s="7" t="inlineStr">
        <is>
          <t>DN-11</t>
        </is>
      </c>
      <c r="B59" s="7" t="inlineStr">
        <is>
          <t>Award (Arbitration)</t>
        </is>
      </c>
      <c r="C59" s="7" t="inlineStr">
        <is>
          <t>1</t>
        </is>
      </c>
      <c r="D59" s="7" t="inlineStr">
        <is>
          <t>MSC-06</t>
        </is>
      </c>
      <c r="E59" s="7" t="inlineStr">
        <is>
          <t>Subject of award?</t>
        </is>
      </c>
      <c r="F59" s="7" t="inlineStr">
        <is>
          <t>Movable, &gt; Rs.5 crore</t>
        </is>
      </c>
      <c r="G59" s="20">
        <f>&gt; 11(b)(iii)</f>
        <v/>
      </c>
    </row>
    <row r="60">
      <c r="A60" s="7" t="inlineStr">
        <is>
          <t>DN-11</t>
        </is>
      </c>
      <c r="B60" s="7" t="inlineStr">
        <is>
          <t>Award (Arbitration)</t>
        </is>
      </c>
      <c r="C60" s="7" t="inlineStr">
        <is>
          <t>0</t>
        </is>
      </c>
      <c r="D60" s="7" t="inlineStr">
        <is>
          <t>-</t>
        </is>
      </c>
      <c r="E60" s="7" t="inlineStr">
        <is>
          <t>Award directs partition?</t>
        </is>
      </c>
      <c r="F60" s="7" t="inlineStr">
        <is>
          <t>Yes</t>
        </is>
      </c>
      <c r="G60" s="7" t="inlineStr">
        <is>
          <t>Go to DN-41 Partition</t>
        </is>
      </c>
    </row>
    <row r="61">
      <c r="A61" s="9" t="inlineStr">
        <is>
          <t>DN-12</t>
        </is>
      </c>
      <c r="B61" s="9" t="inlineStr">
        <is>
          <t>Bond</t>
        </is>
      </c>
      <c r="C61" s="7" t="inlineStr">
        <is>
          <t>1</t>
        </is>
      </c>
      <c r="D61" s="7" t="inlineStr">
        <is>
          <t>MSC-01</t>
        </is>
      </c>
      <c r="E61" s="7" t="inlineStr">
        <is>
          <t>Amount secured?</t>
        </is>
      </c>
      <c r="F61" s="7" t="inlineStr">
        <is>
          <t>&lt;= Rs.1,000</t>
        </is>
      </c>
      <c r="G61" s="20">
        <f>&gt; 12(a)</f>
        <v/>
      </c>
    </row>
    <row r="62">
      <c r="A62" s="9" t="inlineStr">
        <is>
          <t>DN-12</t>
        </is>
      </c>
      <c r="B62" s="9" t="inlineStr">
        <is>
          <t>Bond</t>
        </is>
      </c>
      <c r="C62" s="7" t="inlineStr">
        <is>
          <t>1</t>
        </is>
      </c>
      <c r="D62" s="7" t="inlineStr">
        <is>
          <t>MSC-01</t>
        </is>
      </c>
      <c r="E62" s="7" t="inlineStr">
        <is>
          <t>Amount secured?</t>
        </is>
      </c>
      <c r="F62" s="7" t="inlineStr">
        <is>
          <t>&gt; Rs.1,000</t>
        </is>
      </c>
      <c r="G62" s="20">
        <f>&gt; 12(b)</f>
        <v/>
      </c>
    </row>
    <row r="63">
      <c r="A63" s="7" t="inlineStr">
        <is>
          <t>DN-13</t>
        </is>
      </c>
      <c r="B63" s="7" t="inlineStr">
        <is>
          <t>Bottomry Bond</t>
        </is>
      </c>
      <c r="C63" s="7" t="inlineStr">
        <is>
          <t>1</t>
        </is>
      </c>
      <c r="D63" s="7" t="inlineStr">
        <is>
          <t>-</t>
        </is>
      </c>
      <c r="E63" s="7" t="inlineStr">
        <is>
          <t>No further question - nature decides the article</t>
        </is>
      </c>
      <c r="F63" s="7" t="inlineStr">
        <is>
          <t>-</t>
        </is>
      </c>
      <c r="G63" s="20">
        <f>&gt; 13</f>
        <v/>
      </c>
    </row>
    <row r="64">
      <c r="A64" s="9" t="inlineStr">
        <is>
          <t>DN-14</t>
        </is>
      </c>
      <c r="B64" s="9" t="inlineStr">
        <is>
          <t>Cancellation of Instrument</t>
        </is>
      </c>
      <c r="C64" s="7" t="inlineStr">
        <is>
          <t>1</t>
        </is>
      </c>
      <c r="D64" s="7" t="inlineStr">
        <is>
          <t>CNL-02</t>
        </is>
      </c>
      <c r="E64" s="7" t="inlineStr">
        <is>
          <t>Original executed by Govt / authority / Govt body corporate?</t>
        </is>
      </c>
      <c r="F64" s="7" t="inlineStr">
        <is>
          <t>Yes</t>
        </is>
      </c>
      <c r="G64" s="20">
        <f>&gt; 14(b)</f>
        <v/>
      </c>
    </row>
    <row r="65">
      <c r="A65" s="9" t="inlineStr">
        <is>
          <t>DN-14</t>
        </is>
      </c>
      <c r="B65" s="9" t="inlineStr">
        <is>
          <t>Cancellation of Instrument</t>
        </is>
      </c>
      <c r="C65" s="7" t="inlineStr">
        <is>
          <t>1</t>
        </is>
      </c>
      <c r="D65" s="7" t="inlineStr">
        <is>
          <t>CNL-02</t>
        </is>
      </c>
      <c r="E65" s="7" t="inlineStr">
        <is>
          <t>Original executed by Govt / authority / Govt body corporate?</t>
        </is>
      </c>
      <c r="F65" s="7" t="inlineStr">
        <is>
          <t>No</t>
        </is>
      </c>
      <c r="G65" s="7" t="inlineStr">
        <is>
          <t>Step 2</t>
        </is>
      </c>
    </row>
    <row r="66">
      <c r="A66" s="9" t="inlineStr">
        <is>
          <t>DN-14</t>
        </is>
      </c>
      <c r="B66" s="9" t="inlineStr">
        <is>
          <t>Cancellation of Instrument</t>
        </is>
      </c>
      <c r="C66" s="7" t="inlineStr">
        <is>
          <t>2</t>
        </is>
      </c>
      <c r="D66" s="7" t="inlineStr">
        <is>
          <t>CNL-01</t>
        </is>
      </c>
      <c r="E66" s="7" t="inlineStr">
        <is>
          <t>Original instrument is a lease / settlement / agreement 5(e)(i) / mortgage?</t>
        </is>
      </c>
      <c r="F66" s="7" t="inlineStr">
        <is>
          <t>Lease</t>
        </is>
      </c>
      <c r="G66" s="7" t="inlineStr">
        <is>
          <t>Go to DN-54 Surrender of lease</t>
        </is>
      </c>
    </row>
    <row r="67">
      <c r="A67" s="9" t="inlineStr">
        <is>
          <t>DN-14</t>
        </is>
      </c>
      <c r="B67" s="9" t="inlineStr">
        <is>
          <t>Cancellation of Instrument</t>
        </is>
      </c>
      <c r="C67" s="7" t="inlineStr">
        <is>
          <t>2</t>
        </is>
      </c>
      <c r="D67" s="7" t="inlineStr">
        <is>
          <t>CNL-01</t>
        </is>
      </c>
      <c r="E67" s="7" t="inlineStr">
        <is>
          <t>Original instrument is?</t>
        </is>
      </c>
      <c r="F67" s="7" t="inlineStr">
        <is>
          <t>Settlement</t>
        </is>
      </c>
      <c r="G67" s="7" t="inlineStr">
        <is>
          <t>Go to DN-51 (Revocation 48-B)</t>
        </is>
      </c>
    </row>
    <row r="68">
      <c r="A68" s="9" t="inlineStr">
        <is>
          <t>DN-14</t>
        </is>
      </c>
      <c r="B68" s="9" t="inlineStr">
        <is>
          <t>Cancellation of Instrument</t>
        </is>
      </c>
      <c r="C68" s="7" t="inlineStr">
        <is>
          <t>2</t>
        </is>
      </c>
      <c r="D68" s="7" t="inlineStr">
        <is>
          <t>CNL-01</t>
        </is>
      </c>
      <c r="E68" s="7" t="inlineStr">
        <is>
          <t>Original instrument is?</t>
        </is>
      </c>
      <c r="F68" s="7" t="inlineStr">
        <is>
          <t>Any other</t>
        </is>
      </c>
      <c r="G68" s="7" t="inlineStr">
        <is>
          <t>Step 3</t>
        </is>
      </c>
    </row>
    <row r="69">
      <c r="A69" s="9" t="inlineStr">
        <is>
          <t>DN-14</t>
        </is>
      </c>
      <c r="B69" s="9" t="inlineStr">
        <is>
          <t>Cancellation of Instrument</t>
        </is>
      </c>
      <c r="C69" s="7" t="inlineStr">
        <is>
          <t>3</t>
        </is>
      </c>
      <c r="D69" s="7" t="inlineStr">
        <is>
          <t>CNL-03</t>
        </is>
      </c>
      <c r="E69" s="7" t="inlineStr">
        <is>
          <t>Cancellation has effect of reconveyance?</t>
        </is>
      </c>
      <c r="F69" s="7" t="inlineStr">
        <is>
          <t>Yes</t>
        </is>
      </c>
      <c r="G69" s="20">
        <f>&gt; 14(a)</f>
        <v/>
      </c>
    </row>
    <row r="70">
      <c r="A70" s="9" t="inlineStr">
        <is>
          <t>DN-14</t>
        </is>
      </c>
      <c r="B70" s="9" t="inlineStr">
        <is>
          <t>Cancellation of Instrument</t>
        </is>
      </c>
      <c r="C70" s="7" t="inlineStr">
        <is>
          <t>3</t>
        </is>
      </c>
      <c r="D70" s="7" t="inlineStr">
        <is>
          <t>CNL-03</t>
        </is>
      </c>
      <c r="E70" s="7" t="inlineStr">
        <is>
          <t>Cancellation has effect of reconveyance?</t>
        </is>
      </c>
      <c r="F70" s="7" t="inlineStr">
        <is>
          <t>No</t>
        </is>
      </c>
      <c r="G70" s="20">
        <f>&gt; 14(c)</f>
        <v/>
      </c>
    </row>
    <row r="71">
      <c r="A71" s="7" t="inlineStr">
        <is>
          <t>DN-15</t>
        </is>
      </c>
      <c r="B71" s="7" t="inlineStr">
        <is>
          <t>Certificate of Sale (Public Auction)</t>
        </is>
      </c>
      <c r="C71" s="7" t="inlineStr">
        <is>
          <t>1</t>
        </is>
      </c>
      <c r="D71" s="7" t="inlineStr">
        <is>
          <t>MSC-07</t>
        </is>
      </c>
      <c r="E71" s="7" t="inlineStr">
        <is>
          <t>Purchase money?</t>
        </is>
      </c>
      <c r="F71" s="7" t="inlineStr">
        <is>
          <t>&lt;= Rs.10</t>
        </is>
      </c>
      <c r="G71" s="20">
        <f>&gt; 15(a)</f>
        <v/>
      </c>
    </row>
    <row r="72">
      <c r="A72" s="7" t="inlineStr">
        <is>
          <t>DN-15</t>
        </is>
      </c>
      <c r="B72" s="7" t="inlineStr">
        <is>
          <t>Certificate of Sale (Public Auction)</t>
        </is>
      </c>
      <c r="C72" s="7" t="inlineStr">
        <is>
          <t>1</t>
        </is>
      </c>
      <c r="D72" s="7" t="inlineStr">
        <is>
          <t>MSC-07</t>
        </is>
      </c>
      <c r="E72" s="7" t="inlineStr">
        <is>
          <t>Purchase money?</t>
        </is>
      </c>
      <c r="F72" s="7" t="inlineStr">
        <is>
          <t>&gt; Rs.10 (slab per schedule)</t>
        </is>
      </c>
      <c r="G72" s="20">
        <f>&gt; 15(b)</f>
        <v/>
      </c>
    </row>
    <row r="73">
      <c r="A73" s="7" t="inlineStr">
        <is>
          <t>DN-15</t>
        </is>
      </c>
      <c r="B73" s="7" t="inlineStr">
        <is>
          <t>Certificate of Sale (Public Auction)</t>
        </is>
      </c>
      <c r="C73" s="7" t="inlineStr">
        <is>
          <t>1</t>
        </is>
      </c>
      <c r="D73" s="7" t="inlineStr">
        <is>
          <t>MSC-07</t>
        </is>
      </c>
      <c r="E73" s="7" t="inlineStr">
        <is>
          <t>Purchase money?</t>
        </is>
      </c>
      <c r="F73" s="7" t="inlineStr">
        <is>
          <t>Other</t>
        </is>
      </c>
      <c r="G73" s="20">
        <f>&gt; 15(c)</f>
        <v/>
      </c>
    </row>
    <row r="74">
      <c r="A74" s="9" t="inlineStr">
        <is>
          <t>DN-16</t>
        </is>
      </c>
      <c r="B74" s="9" t="inlineStr">
        <is>
          <t>Share Certificate / Document of title to shares</t>
        </is>
      </c>
      <c r="C74" s="7" t="inlineStr">
        <is>
          <t>1</t>
        </is>
      </c>
      <c r="D74" s="7" t="inlineStr">
        <is>
          <t>-</t>
        </is>
      </c>
      <c r="E74" s="7" t="inlineStr">
        <is>
          <t>No further question - nature decides the article</t>
        </is>
      </c>
      <c r="F74" s="7" t="inlineStr">
        <is>
          <t>-</t>
        </is>
      </c>
      <c r="G74" s="20">
        <f>&gt; 16</f>
        <v/>
      </c>
    </row>
    <row r="75">
      <c r="A75" s="7" t="inlineStr">
        <is>
          <t>DN-17</t>
        </is>
      </c>
      <c r="B75" s="7" t="inlineStr">
        <is>
          <t>Certificate of Enrolment as Advocate</t>
        </is>
      </c>
      <c r="C75" s="7" t="inlineStr">
        <is>
          <t>1</t>
        </is>
      </c>
      <c r="D75" s="7" t="inlineStr">
        <is>
          <t>-</t>
        </is>
      </c>
      <c r="E75" s="7" t="inlineStr">
        <is>
          <t>No further question - nature decides the article</t>
        </is>
      </c>
      <c r="F75" s="7" t="inlineStr">
        <is>
          <t>-</t>
        </is>
      </c>
      <c r="G75" s="20">
        <f>&gt; 17</f>
        <v/>
      </c>
    </row>
    <row r="76">
      <c r="A76" s="9" t="inlineStr">
        <is>
          <t>DN-18</t>
        </is>
      </c>
      <c r="B76" s="9" t="inlineStr">
        <is>
          <t>Charter Party</t>
        </is>
      </c>
      <c r="C76" s="7" t="inlineStr">
        <is>
          <t>1</t>
        </is>
      </c>
      <c r="D76" s="7" t="inlineStr">
        <is>
          <t>-</t>
        </is>
      </c>
      <c r="E76" s="7" t="inlineStr">
        <is>
          <t>No further question - nature decides the article</t>
        </is>
      </c>
      <c r="F76" s="7" t="inlineStr">
        <is>
          <t>-</t>
        </is>
      </c>
      <c r="G76" s="20">
        <f>&gt; 18</f>
        <v/>
      </c>
    </row>
    <row r="77">
      <c r="A77" s="7" t="inlineStr">
        <is>
          <t>DN-19</t>
        </is>
      </c>
      <c r="B77" s="7" t="inlineStr">
        <is>
          <t>Clearance List (Stock Exchange)</t>
        </is>
      </c>
      <c r="C77" s="7" t="inlineStr">
        <is>
          <t>1</t>
        </is>
      </c>
      <c r="D77" s="7" t="inlineStr">
        <is>
          <t>CMP-14</t>
        </is>
      </c>
      <c r="E77" s="7" t="inlineStr">
        <is>
          <t>Clearance list type?</t>
        </is>
      </c>
      <c r="F77" s="7" t="inlineStr">
        <is>
          <t>Govt securities</t>
        </is>
      </c>
      <c r="G77" s="20">
        <f>&gt; 18-A(1)</f>
        <v/>
      </c>
    </row>
    <row r="78">
      <c r="A78" s="7" t="inlineStr">
        <is>
          <t>DN-19</t>
        </is>
      </c>
      <c r="B78" s="7" t="inlineStr">
        <is>
          <t>Clearance List (Stock Exchange)</t>
        </is>
      </c>
      <c r="C78" s="7" t="inlineStr">
        <is>
          <t>1</t>
        </is>
      </c>
      <c r="D78" s="7" t="inlineStr">
        <is>
          <t>CMP-14</t>
        </is>
      </c>
      <c r="E78" s="7" t="inlineStr">
        <is>
          <t>Clearance list type?</t>
        </is>
      </c>
      <c r="F78" s="7" t="inlineStr">
        <is>
          <t>Recognised exchange</t>
        </is>
      </c>
      <c r="G78" s="20">
        <f>&gt; 18-A(2)</f>
        <v/>
      </c>
    </row>
    <row r="79">
      <c r="A79" s="7" t="inlineStr">
        <is>
          <t>DN-19</t>
        </is>
      </c>
      <c r="B79" s="7" t="inlineStr">
        <is>
          <t>Clearance List (Stock Exchange)</t>
        </is>
      </c>
      <c r="C79" s="7" t="inlineStr">
        <is>
          <t>1</t>
        </is>
      </c>
      <c r="D79" s="7" t="inlineStr">
        <is>
          <t>CMP-14</t>
        </is>
      </c>
      <c r="E79" s="7" t="inlineStr">
        <is>
          <t>Clearance list type?</t>
        </is>
      </c>
      <c r="F79" s="7" t="inlineStr">
        <is>
          <t>Unrecognised exchange</t>
        </is>
      </c>
      <c r="G79" s="20">
        <f>&gt; 18-A(3)</f>
        <v/>
      </c>
    </row>
    <row r="80">
      <c r="A80" s="9" t="inlineStr">
        <is>
          <t>DN-20</t>
        </is>
      </c>
      <c r="B80" s="9" t="inlineStr">
        <is>
          <t>Composition Deed</t>
        </is>
      </c>
      <c r="C80" s="7" t="inlineStr">
        <is>
          <t>1</t>
        </is>
      </c>
      <c r="D80" s="7" t="inlineStr">
        <is>
          <t>-</t>
        </is>
      </c>
      <c r="E80" s="7" t="inlineStr">
        <is>
          <t>No further question - nature decides the article</t>
        </is>
      </c>
      <c r="F80" s="7" t="inlineStr">
        <is>
          <t>-</t>
        </is>
      </c>
      <c r="G80" s="20">
        <f>&gt; 19</f>
        <v/>
      </c>
    </row>
    <row r="81">
      <c r="A81" s="7" t="inlineStr">
        <is>
          <t>DN-21</t>
        </is>
      </c>
      <c r="B81" s="7" t="inlineStr">
        <is>
          <t>Conveyance / Sale Deed (incl. Flat, Amalgamation, Machinery, Securitisation, TDR)</t>
        </is>
      </c>
      <c r="C81" s="7" t="inlineStr">
        <is>
          <t>1</t>
        </is>
      </c>
      <c r="D81" s="7" t="inlineStr">
        <is>
          <t>PRP-01 / CMP-04 / PRP-06</t>
        </is>
      </c>
      <c r="E81" s="7" t="inlineStr">
        <is>
          <t>Type of conveyance? (Lookup: Conveyance Type)</t>
        </is>
      </c>
      <c r="F81" s="7" t="inlineStr">
        <is>
          <t>CT-01 General</t>
        </is>
      </c>
      <c r="G81" s="20">
        <f>&gt; 20(1)</f>
        <v/>
      </c>
    </row>
    <row r="82">
      <c r="A82" s="7" t="inlineStr">
        <is>
          <t>DN-21</t>
        </is>
      </c>
      <c r="B82" s="7" t="inlineStr">
        <is>
          <t>Conveyance / Sale Deed (incl. Flat, Amalgamation, Machinery, Securitisation, TDR)</t>
        </is>
      </c>
      <c r="C82" s="7" t="inlineStr">
        <is>
          <t>1</t>
        </is>
      </c>
      <c r="D82" s="7" t="inlineStr">
        <is>
          <t>PRP-06 / GEN-05</t>
        </is>
      </c>
      <c r="E82" s="7" t="inlineStr">
        <is>
          <t>Type of conveyance?</t>
        </is>
      </c>
      <c r="F82" s="7" t="inlineStr">
        <is>
          <t>CT-02 Flat / Apartment / unit by promoter / developer</t>
        </is>
      </c>
      <c r="G82" s="20">
        <f>&gt; 20(2)</f>
        <v/>
      </c>
    </row>
    <row r="83">
      <c r="A83" s="7" t="inlineStr">
        <is>
          <t>DN-21</t>
        </is>
      </c>
      <c r="B83" s="7" t="inlineStr">
        <is>
          <t>Conveyance / Sale Deed (incl. Flat, Amalgamation, Machinery, Securitisation, TDR)</t>
        </is>
      </c>
      <c r="C83" s="7" t="inlineStr">
        <is>
          <t>1</t>
        </is>
      </c>
      <c r="D83" s="7" t="inlineStr">
        <is>
          <t>PRP-06 / GEN-05</t>
        </is>
      </c>
      <c r="E83" s="7" t="inlineStr">
        <is>
          <t>Type of conveyance?</t>
        </is>
      </c>
      <c r="F83" s="7" t="inlineStr">
        <is>
          <t>CT-03 Flat / Apartment by BDA / KHB</t>
        </is>
      </c>
      <c r="G83" s="20">
        <f>&gt; 20(3)</f>
        <v/>
      </c>
    </row>
    <row r="84">
      <c r="A84" s="7" t="inlineStr">
        <is>
          <t>DN-21</t>
        </is>
      </c>
      <c r="B84" s="7" t="inlineStr">
        <is>
          <t>Conveyance / Sale Deed (incl. Flat, Amalgamation, Machinery, Securitisation, TDR)</t>
        </is>
      </c>
      <c r="C84" s="7" t="inlineStr">
        <is>
          <t>1</t>
        </is>
      </c>
      <c r="D84" s="7" t="inlineStr">
        <is>
          <t>CMP-04</t>
        </is>
      </c>
      <c r="E84" s="7" t="inlineStr">
        <is>
          <t>Type of conveyance?</t>
        </is>
      </c>
      <c r="F84" s="7" t="inlineStr">
        <is>
          <t>CT-04 Amalgamation</t>
        </is>
      </c>
      <c r="G84" s="20">
        <f>&gt; 20(4)(i)</f>
        <v/>
      </c>
    </row>
    <row r="85">
      <c r="A85" s="7" t="inlineStr">
        <is>
          <t>DN-21</t>
        </is>
      </c>
      <c r="B85" s="7" t="inlineStr">
        <is>
          <t>Conveyance / Sale Deed (incl. Flat, Amalgamation, Machinery, Securitisation, TDR)</t>
        </is>
      </c>
      <c r="C85" s="7" t="inlineStr">
        <is>
          <t>1</t>
        </is>
      </c>
      <c r="D85" s="7" t="inlineStr">
        <is>
          <t>CMP-04</t>
        </is>
      </c>
      <c r="E85" s="7" t="inlineStr">
        <is>
          <t>Type of conveyance?</t>
        </is>
      </c>
      <c r="F85" s="7" t="inlineStr">
        <is>
          <t>CT-05 Demerger / Reconstruction</t>
        </is>
      </c>
      <c r="G85" s="20">
        <f>&gt; 20(4)(ii)</f>
        <v/>
      </c>
    </row>
    <row r="86">
      <c r="A86" s="7" t="inlineStr">
        <is>
          <t>DN-21</t>
        </is>
      </c>
      <c r="B86" s="7" t="inlineStr">
        <is>
          <t>Conveyance / Sale Deed (incl. Flat, Amalgamation, Machinery, Securitisation, TDR)</t>
        </is>
      </c>
      <c r="C86" s="7" t="inlineStr">
        <is>
          <t>1</t>
        </is>
      </c>
      <c r="D86" s="7" t="inlineStr">
        <is>
          <t>PRP-08</t>
        </is>
      </c>
      <c r="E86" s="7" t="inlineStr">
        <is>
          <t>Type of conveyance?</t>
        </is>
      </c>
      <c r="F86" s="7" t="inlineStr">
        <is>
          <t>CT-06 Industrial machinery - movable</t>
        </is>
      </c>
      <c r="G86" s="20">
        <f>&gt; 20(5)(i)</f>
        <v/>
      </c>
    </row>
    <row r="87">
      <c r="A87" s="7" t="inlineStr">
        <is>
          <t>DN-21</t>
        </is>
      </c>
      <c r="B87" s="7" t="inlineStr">
        <is>
          <t>Conveyance / Sale Deed (incl. Flat, Amalgamation, Machinery, Securitisation, TDR)</t>
        </is>
      </c>
      <c r="C87" s="7" t="inlineStr">
        <is>
          <t>1</t>
        </is>
      </c>
      <c r="D87" s="7" t="inlineStr">
        <is>
          <t>PRP-08</t>
        </is>
      </c>
      <c r="E87" s="7" t="inlineStr">
        <is>
          <t>Type of conveyance?</t>
        </is>
      </c>
      <c r="F87" s="7" t="inlineStr">
        <is>
          <t>CT-06 Industrial machinery - immovable</t>
        </is>
      </c>
      <c r="G87" s="20">
        <f>&gt; 20(5)(ii)</f>
        <v/>
      </c>
    </row>
    <row r="88">
      <c r="A88" s="7" t="inlineStr">
        <is>
          <t>DN-21</t>
        </is>
      </c>
      <c r="B88" s="7" t="inlineStr">
        <is>
          <t>Conveyance / Sale Deed (incl. Flat, Amalgamation, Machinery, Securitisation, TDR)</t>
        </is>
      </c>
      <c r="C88" s="7" t="inlineStr">
        <is>
          <t>1</t>
        </is>
      </c>
      <c r="D88" s="7" t="inlineStr">
        <is>
          <t>PRP-01</t>
        </is>
      </c>
      <c r="E88" s="7" t="inlineStr">
        <is>
          <t>Type of conveyance?</t>
        </is>
      </c>
      <c r="F88" s="7" t="inlineStr">
        <is>
          <t>CT-07 Securitisation receivables</t>
        </is>
      </c>
      <c r="G88" s="20">
        <f>&gt; 20(6)</f>
        <v/>
      </c>
    </row>
    <row r="89">
      <c r="A89" s="7" t="inlineStr">
        <is>
          <t>DN-21</t>
        </is>
      </c>
      <c r="B89" s="7" t="inlineStr">
        <is>
          <t>Conveyance / Sale Deed (incl. Flat, Amalgamation, Machinery, Securitisation, TDR)</t>
        </is>
      </c>
      <c r="C89" s="7" t="inlineStr">
        <is>
          <t>1</t>
        </is>
      </c>
      <c r="D89" s="7" t="inlineStr">
        <is>
          <t>PRP-01</t>
        </is>
      </c>
      <c r="E89" s="7" t="inlineStr">
        <is>
          <t>Type of conveyance?</t>
        </is>
      </c>
      <c r="F89" s="7" t="inlineStr">
        <is>
          <t>CT-08 TDR</t>
        </is>
      </c>
      <c r="G89" s="20">
        <f>&gt; 20(7)</f>
        <v/>
      </c>
    </row>
    <row r="90">
      <c r="A90" s="9" t="inlineStr">
        <is>
          <t>DN-22</t>
        </is>
      </c>
      <c r="B90" s="9" t="inlineStr">
        <is>
          <t>Certified Copy / Extract</t>
        </is>
      </c>
      <c r="C90" s="7" t="inlineStr">
        <is>
          <t>1</t>
        </is>
      </c>
      <c r="D90" s="7" t="inlineStr">
        <is>
          <t>MSC-08</t>
        </is>
      </c>
      <c r="E90" s="7" t="inlineStr">
        <is>
          <t>Original chargeable with duty?</t>
        </is>
      </c>
      <c r="F90" s="7" t="inlineStr">
        <is>
          <t>No</t>
        </is>
      </c>
      <c r="G90" s="20">
        <f>&gt; 21(i)</f>
        <v/>
      </c>
    </row>
    <row r="91">
      <c r="A91" s="9" t="inlineStr">
        <is>
          <t>DN-22</t>
        </is>
      </c>
      <c r="B91" s="9" t="inlineStr">
        <is>
          <t>Certified Copy / Extract</t>
        </is>
      </c>
      <c r="C91" s="7" t="inlineStr">
        <is>
          <t>1</t>
        </is>
      </c>
      <c r="D91" s="7" t="inlineStr">
        <is>
          <t>MSC-08</t>
        </is>
      </c>
      <c r="E91" s="7" t="inlineStr">
        <is>
          <t>Original chargeable with duty?</t>
        </is>
      </c>
      <c r="F91" s="7" t="inlineStr">
        <is>
          <t>Yes</t>
        </is>
      </c>
      <c r="G91" s="20">
        <f>&gt; 21(ii)</f>
        <v/>
      </c>
    </row>
    <row r="92">
      <c r="A92" s="7" t="inlineStr">
        <is>
          <t>DN-23</t>
        </is>
      </c>
      <c r="B92" s="7" t="inlineStr">
        <is>
          <t>Counterpart / Duplicate</t>
        </is>
      </c>
      <c r="C92" s="7" t="inlineStr">
        <is>
          <t>1</t>
        </is>
      </c>
      <c r="D92" s="7" t="inlineStr">
        <is>
          <t>MSC-09</t>
        </is>
      </c>
      <c r="E92" s="7" t="inlineStr">
        <is>
          <t>Duty on original?</t>
        </is>
      </c>
      <c r="F92" s="7" t="inlineStr">
        <is>
          <t>&lt;= Rs.500</t>
        </is>
      </c>
      <c r="G92" s="20">
        <f>&gt; 22(a)</f>
        <v/>
      </c>
    </row>
    <row r="93">
      <c r="A93" s="7" t="inlineStr">
        <is>
          <t>DN-23</t>
        </is>
      </c>
      <c r="B93" s="7" t="inlineStr">
        <is>
          <t>Counterpart / Duplicate</t>
        </is>
      </c>
      <c r="C93" s="7" t="inlineStr">
        <is>
          <t>1</t>
        </is>
      </c>
      <c r="D93" s="7" t="inlineStr">
        <is>
          <t>MSC-09</t>
        </is>
      </c>
      <c r="E93" s="7" t="inlineStr">
        <is>
          <t>Duty on original?</t>
        </is>
      </c>
      <c r="F93" s="7" t="inlineStr">
        <is>
          <t>&gt; Rs.500</t>
        </is>
      </c>
      <c r="G93" s="20">
        <f>&gt; 22(b)</f>
        <v/>
      </c>
    </row>
    <row r="94">
      <c r="A94" s="9" t="inlineStr">
        <is>
          <t>DN-24</t>
        </is>
      </c>
      <c r="B94" s="9" t="inlineStr">
        <is>
          <t>Customs / Excise Bond</t>
        </is>
      </c>
      <c r="C94" s="7" t="inlineStr">
        <is>
          <t>1</t>
        </is>
      </c>
      <c r="D94" s="7" t="inlineStr">
        <is>
          <t>MSC-01</t>
        </is>
      </c>
      <c r="E94" s="7" t="inlineStr">
        <is>
          <t>Amount?</t>
        </is>
      </c>
      <c r="F94" s="7" t="inlineStr">
        <is>
          <t>&lt;= Rs.1,000</t>
        </is>
      </c>
      <c r="G94" s="20">
        <f>&gt; 23(a)</f>
        <v/>
      </c>
    </row>
    <row r="95">
      <c r="A95" s="9" t="inlineStr">
        <is>
          <t>DN-24</t>
        </is>
      </c>
      <c r="B95" s="9" t="inlineStr">
        <is>
          <t>Customs / Excise Bond</t>
        </is>
      </c>
      <c r="C95" s="7" t="inlineStr">
        <is>
          <t>1</t>
        </is>
      </c>
      <c r="D95" s="7" t="inlineStr">
        <is>
          <t>MSC-01</t>
        </is>
      </c>
      <c r="E95" s="7" t="inlineStr">
        <is>
          <t>Amount?</t>
        </is>
      </c>
      <c r="F95" s="7" t="inlineStr">
        <is>
          <t>&gt; Rs.1,000</t>
        </is>
      </c>
      <c r="G95" s="20">
        <f>&gt; 23(b)</f>
        <v/>
      </c>
    </row>
    <row r="96">
      <c r="A96" s="7" t="inlineStr">
        <is>
          <t>DN-25</t>
        </is>
      </c>
      <c r="B96" s="7" t="inlineStr">
        <is>
          <t>Delivery Order (Goods)</t>
        </is>
      </c>
      <c r="C96" s="7" t="inlineStr">
        <is>
          <t>1</t>
        </is>
      </c>
      <c r="D96" s="7" t="inlineStr">
        <is>
          <t>-</t>
        </is>
      </c>
      <c r="E96" s="7" t="inlineStr">
        <is>
          <t>No further question - nature decides the article</t>
        </is>
      </c>
      <c r="F96" s="7" t="inlineStr">
        <is>
          <t>-</t>
        </is>
      </c>
      <c r="G96" s="20">
        <f>&gt; 24</f>
        <v/>
      </c>
    </row>
    <row r="97">
      <c r="A97" s="9" t="inlineStr">
        <is>
          <t>DN-26</t>
        </is>
      </c>
      <c r="B97" s="9" t="inlineStr">
        <is>
          <t>Divorce Instrument</t>
        </is>
      </c>
      <c r="C97" s="7" t="inlineStr">
        <is>
          <t>1</t>
        </is>
      </c>
      <c r="D97" s="7" t="inlineStr">
        <is>
          <t>-</t>
        </is>
      </c>
      <c r="E97" s="7" t="inlineStr">
        <is>
          <t>No further question - nature decides the article</t>
        </is>
      </c>
      <c r="F97" s="7" t="inlineStr">
        <is>
          <t>-</t>
        </is>
      </c>
      <c r="G97" s="20">
        <f>&gt; 25</f>
        <v/>
      </c>
    </row>
    <row r="98">
      <c r="A98" s="7" t="inlineStr">
        <is>
          <t>DN-27</t>
        </is>
      </c>
      <c r="B98" s="7" t="inlineStr">
        <is>
          <t>Exchange of Property</t>
        </is>
      </c>
      <c r="C98" s="7" t="inlineStr">
        <is>
          <t>1</t>
        </is>
      </c>
      <c r="D98" s="7" t="inlineStr">
        <is>
          <t>-</t>
        </is>
      </c>
      <c r="E98" s="7" t="inlineStr">
        <is>
          <t>No further question - nature decides the article</t>
        </is>
      </c>
      <c r="F98" s="7" t="inlineStr">
        <is>
          <t>-</t>
        </is>
      </c>
      <c r="G98" s="20">
        <f>&gt; 26</f>
        <v/>
      </c>
    </row>
    <row r="99">
      <c r="A99" s="9" t="inlineStr">
        <is>
          <t>DN-28</t>
        </is>
      </c>
      <c r="B99" s="9" t="inlineStr">
        <is>
          <t>Further Charge on Mortgaged Property</t>
        </is>
      </c>
      <c r="C99" s="7" t="inlineStr">
        <is>
          <t>1</t>
        </is>
      </c>
      <c r="D99" s="7" t="inlineStr">
        <is>
          <t>LON-06</t>
        </is>
      </c>
      <c r="E99" s="7" t="inlineStr">
        <is>
          <t>Original mortgage type?</t>
        </is>
      </c>
      <c r="F99" s="7" t="inlineStr">
        <is>
          <t>With possession [34(a)]</t>
        </is>
      </c>
      <c r="G99" s="20">
        <f>&gt; 27(a)</f>
        <v/>
      </c>
    </row>
    <row r="100">
      <c r="A100" s="9" t="inlineStr">
        <is>
          <t>DN-28</t>
        </is>
      </c>
      <c r="B100" s="9" t="inlineStr">
        <is>
          <t>Further Charge on Mortgaged Property</t>
        </is>
      </c>
      <c r="C100" s="7" t="inlineStr">
        <is>
          <t>1</t>
        </is>
      </c>
      <c r="D100" s="7" t="inlineStr">
        <is>
          <t>LON-06</t>
        </is>
      </c>
      <c r="E100" s="7" t="inlineStr">
        <is>
          <t>Original mortgage type?</t>
        </is>
      </c>
      <c r="F100" s="7" t="inlineStr">
        <is>
          <t>Without possession [34(b)]</t>
        </is>
      </c>
      <c r="G100" s="7" t="inlineStr">
        <is>
          <t>Step 2</t>
        </is>
      </c>
    </row>
    <row r="101">
      <c r="A101" s="9" t="inlineStr">
        <is>
          <t>DN-28</t>
        </is>
      </c>
      <c r="B101" s="9" t="inlineStr">
        <is>
          <t>Further Charge on Mortgaged Property</t>
        </is>
      </c>
      <c r="C101" s="7" t="inlineStr">
        <is>
          <t>2</t>
        </is>
      </c>
      <c r="D101" s="7" t="inlineStr">
        <is>
          <t>LON-07</t>
        </is>
      </c>
      <c r="E101" s="7" t="inlineStr">
        <is>
          <t>Under further charge?</t>
        </is>
      </c>
      <c r="F101" s="7" t="inlineStr">
        <is>
          <t>Possession given</t>
        </is>
      </c>
      <c r="G101" s="20">
        <f>&gt; 27(b)(i)</f>
        <v/>
      </c>
    </row>
    <row r="102">
      <c r="A102" s="9" t="inlineStr">
        <is>
          <t>DN-28</t>
        </is>
      </c>
      <c r="B102" s="9" t="inlineStr">
        <is>
          <t>Further Charge on Mortgaged Property</t>
        </is>
      </c>
      <c r="C102" s="7" t="inlineStr">
        <is>
          <t>2</t>
        </is>
      </c>
      <c r="D102" s="7" t="inlineStr">
        <is>
          <t>LON-07</t>
        </is>
      </c>
      <c r="E102" s="7" t="inlineStr">
        <is>
          <t>Under further charge?</t>
        </is>
      </c>
      <c r="F102" s="7" t="inlineStr">
        <is>
          <t>Possession not given (not hypothecation)</t>
        </is>
      </c>
      <c r="G102" s="20">
        <f>&gt; 27(b)(ii)</f>
        <v/>
      </c>
    </row>
    <row r="103">
      <c r="A103" s="9" t="inlineStr">
        <is>
          <t>DN-28</t>
        </is>
      </c>
      <c r="B103" s="9" t="inlineStr">
        <is>
          <t>Further Charge on Mortgaged Property</t>
        </is>
      </c>
      <c r="C103" s="7" t="inlineStr">
        <is>
          <t>2</t>
        </is>
      </c>
      <c r="D103" s="7" t="inlineStr">
        <is>
          <t>LON-07</t>
        </is>
      </c>
      <c r="E103" s="7" t="inlineStr">
        <is>
          <t>Under further charge?</t>
        </is>
      </c>
      <c r="F103" s="7" t="inlineStr">
        <is>
          <t>Hypothecation</t>
        </is>
      </c>
      <c r="G103" s="20">
        <f>&gt; 27(b)(iii)</f>
        <v/>
      </c>
    </row>
    <row r="104">
      <c r="A104" s="7" t="inlineStr">
        <is>
          <t>DN-29</t>
        </is>
      </c>
      <c r="B104" s="7" t="inlineStr">
        <is>
          <t>Gift Deed</t>
        </is>
      </c>
      <c r="C104" s="7" t="inlineStr">
        <is>
          <t>1</t>
        </is>
      </c>
      <c r="D104" s="7" t="inlineStr">
        <is>
          <t>GEN-07</t>
        </is>
      </c>
      <c r="E104" s="7" t="inlineStr">
        <is>
          <t>Donee is a family member as per 28(b) (Family_Definitions)?</t>
        </is>
      </c>
      <c r="F104" s="7" t="inlineStr">
        <is>
          <t>Yes</t>
        </is>
      </c>
      <c r="G104" s="20">
        <f>&gt; 28(b)</f>
        <v/>
      </c>
    </row>
    <row r="105">
      <c r="A105" s="7" t="inlineStr">
        <is>
          <t>DN-29</t>
        </is>
      </c>
      <c r="B105" s="7" t="inlineStr">
        <is>
          <t>Gift Deed</t>
        </is>
      </c>
      <c r="C105" s="7" t="inlineStr">
        <is>
          <t>1</t>
        </is>
      </c>
      <c r="D105" s="7" t="inlineStr">
        <is>
          <t>GEN-07</t>
        </is>
      </c>
      <c r="E105" s="7" t="inlineStr">
        <is>
          <t>Donee is a family member as per 28(b)?</t>
        </is>
      </c>
      <c r="F105" s="7" t="inlineStr">
        <is>
          <t>No</t>
        </is>
      </c>
      <c r="G105" s="20">
        <f>&gt; 28(a)</f>
        <v/>
      </c>
    </row>
    <row r="106">
      <c r="A106" s="9" t="inlineStr">
        <is>
          <t>DN-30</t>
        </is>
      </c>
      <c r="B106" s="9" t="inlineStr">
        <is>
          <t>Indemnity Bond</t>
        </is>
      </c>
      <c r="C106" s="7" t="inlineStr">
        <is>
          <t>1</t>
        </is>
      </c>
      <c r="D106" s="7" t="inlineStr">
        <is>
          <t>-</t>
        </is>
      </c>
      <c r="E106" s="7" t="inlineStr">
        <is>
          <t>No further question - nature decides the article</t>
        </is>
      </c>
      <c r="F106" s="7" t="inlineStr">
        <is>
          <t>-</t>
        </is>
      </c>
      <c r="G106" s="20">
        <f>&gt; 29</f>
        <v/>
      </c>
    </row>
    <row r="107">
      <c r="A107" s="7" t="inlineStr">
        <is>
          <t>DN-31</t>
        </is>
      </c>
      <c r="B107" s="7" t="inlineStr">
        <is>
          <t>Lease (incl. Sub-lease, Agreement to Let, Mining Lease / MDPA)</t>
        </is>
      </c>
      <c r="C107" s="7" t="inlineStr">
        <is>
          <t>1</t>
        </is>
      </c>
      <c r="D107" s="7" t="inlineStr">
        <is>
          <t>LSE-01</t>
        </is>
      </c>
      <c r="E107" s="7" t="inlineStr">
        <is>
          <t>Type of lease?</t>
        </is>
      </c>
      <c r="F107" s="7" t="inlineStr">
        <is>
          <t>MDPA / Mining lease</t>
        </is>
      </c>
      <c r="G107" s="7" t="inlineStr">
        <is>
          <t>Step M1</t>
        </is>
      </c>
    </row>
    <row r="108">
      <c r="A108" s="7" t="inlineStr">
        <is>
          <t>DN-31</t>
        </is>
      </c>
      <c r="B108" s="7" t="inlineStr">
        <is>
          <t>Lease (incl. Sub-lease, Agreement to Let, Mining Lease / MDPA)</t>
        </is>
      </c>
      <c r="C108" s="7" t="inlineStr">
        <is>
          <t>M1</t>
        </is>
      </c>
      <c r="D108" s="7" t="inlineStr">
        <is>
          <t>LSE-09</t>
        </is>
      </c>
      <c r="E108" s="7" t="inlineStr">
        <is>
          <t>Granted through auction?</t>
        </is>
      </c>
      <c r="F108" s="7" t="inlineStr">
        <is>
          <t>Yes</t>
        </is>
      </c>
      <c r="G108" s="7" t="inlineStr">
        <is>
          <t>Step M2</t>
        </is>
      </c>
    </row>
    <row r="109">
      <c r="A109" s="7" t="inlineStr">
        <is>
          <t>DN-31</t>
        </is>
      </c>
      <c r="B109" s="7" t="inlineStr">
        <is>
          <t>Lease (incl. Sub-lease, Agreement to Let, Mining Lease / MDPA)</t>
        </is>
      </c>
      <c r="C109" s="7" t="inlineStr">
        <is>
          <t>M1</t>
        </is>
      </c>
      <c r="D109" s="7" t="inlineStr">
        <is>
          <t>LSE-09</t>
        </is>
      </c>
      <c r="E109" s="7" t="inlineStr">
        <is>
          <t>Granted through auction?</t>
        </is>
      </c>
      <c r="F109" s="7" t="inlineStr">
        <is>
          <t>No</t>
        </is>
      </c>
      <c r="G109" s="7" t="inlineStr">
        <is>
          <t>Step M3</t>
        </is>
      </c>
    </row>
    <row r="110">
      <c r="A110" s="7" t="inlineStr">
        <is>
          <t>DN-31</t>
        </is>
      </c>
      <c r="B110" s="7" t="inlineStr">
        <is>
          <t>Lease (incl. Sub-lease, Agreement to Let, Mining Lease / MDPA)</t>
        </is>
      </c>
      <c r="C110" s="7" t="inlineStr">
        <is>
          <t>M2</t>
        </is>
      </c>
      <c r="D110" s="7" t="inlineStr">
        <is>
          <t>LSE-02</t>
        </is>
      </c>
      <c r="E110" s="7" t="inlineStr">
        <is>
          <t>Term (auction)?</t>
        </is>
      </c>
      <c r="F110" s="7" t="inlineStr">
        <is>
          <t>&gt; 1 and &lt;= 10 yrs</t>
        </is>
      </c>
      <c r="G110" s="20">
        <f>&gt; 30(3)(a)(i)</f>
        <v/>
      </c>
    </row>
    <row r="111">
      <c r="A111" s="7" t="inlineStr">
        <is>
          <t>DN-31</t>
        </is>
      </c>
      <c r="B111" s="7" t="inlineStr">
        <is>
          <t>Lease (incl. Sub-lease, Agreement to Let, Mining Lease / MDPA)</t>
        </is>
      </c>
      <c r="C111" s="7" t="inlineStr">
        <is>
          <t>M2</t>
        </is>
      </c>
      <c r="D111" s="7" t="inlineStr">
        <is>
          <t>LSE-02</t>
        </is>
      </c>
      <c r="E111" s="7" t="inlineStr">
        <is>
          <t>Term (auction)?</t>
        </is>
      </c>
      <c r="F111" s="7" t="inlineStr">
        <is>
          <t>&gt; 10 and &lt;= 20 yrs</t>
        </is>
      </c>
      <c r="G111" s="20">
        <f>&gt; 30(3)(a)(ii)</f>
        <v/>
      </c>
    </row>
    <row r="112">
      <c r="A112" s="7" t="inlineStr">
        <is>
          <t>DN-31</t>
        </is>
      </c>
      <c r="B112" s="7" t="inlineStr">
        <is>
          <t>Lease (incl. Sub-lease, Agreement to Let, Mining Lease / MDPA)</t>
        </is>
      </c>
      <c r="C112" s="7" t="inlineStr">
        <is>
          <t>M2</t>
        </is>
      </c>
      <c r="D112" s="7" t="inlineStr">
        <is>
          <t>LSE-02</t>
        </is>
      </c>
      <c r="E112" s="7" t="inlineStr">
        <is>
          <t>Term (auction)?</t>
        </is>
      </c>
      <c r="F112" s="7" t="inlineStr">
        <is>
          <t>&gt; 20 and &lt;= 30 yrs</t>
        </is>
      </c>
      <c r="G112" s="20">
        <f>&gt; 30(3)(a)(iii)</f>
        <v/>
      </c>
    </row>
    <row r="113">
      <c r="A113" s="7" t="inlineStr">
        <is>
          <t>DN-31</t>
        </is>
      </c>
      <c r="B113" s="7" t="inlineStr">
        <is>
          <t>Lease (incl. Sub-lease, Agreement to Let, Mining Lease / MDPA)</t>
        </is>
      </c>
      <c r="C113" s="7" t="inlineStr">
        <is>
          <t>M2</t>
        </is>
      </c>
      <c r="D113" s="7" t="inlineStr">
        <is>
          <t>LSE-02</t>
        </is>
      </c>
      <c r="E113" s="7" t="inlineStr">
        <is>
          <t>Term (auction)?</t>
        </is>
      </c>
      <c r="F113" s="7" t="inlineStr">
        <is>
          <t>&gt; 30 yrs / perpetual / indefinite</t>
        </is>
      </c>
      <c r="G113" s="20">
        <f>&gt; 30(3)(a)(iv)</f>
        <v/>
      </c>
    </row>
    <row r="114">
      <c r="A114" s="7" t="inlineStr">
        <is>
          <t>DN-31</t>
        </is>
      </c>
      <c r="B114" s="7" t="inlineStr">
        <is>
          <t>Lease (incl. Sub-lease, Agreement to Let, Mining Lease / MDPA)</t>
        </is>
      </c>
      <c r="C114" s="7" t="inlineStr">
        <is>
          <t>M3</t>
        </is>
      </c>
      <c r="D114" s="7" t="inlineStr">
        <is>
          <t>LSE-02</t>
        </is>
      </c>
      <c r="E114" s="7" t="inlineStr">
        <is>
          <t>Term (other than auction)?</t>
        </is>
      </c>
      <c r="F114" s="7" t="inlineStr">
        <is>
          <t>&gt; 1 and &lt;= 10 yrs</t>
        </is>
      </c>
      <c r="G114" s="20">
        <f>&gt; 30(3)(b)(i)</f>
        <v/>
      </c>
    </row>
    <row r="115">
      <c r="A115" s="7" t="inlineStr">
        <is>
          <t>DN-31</t>
        </is>
      </c>
      <c r="B115" s="7" t="inlineStr">
        <is>
          <t>Lease (incl. Sub-lease, Agreement to Let, Mining Lease / MDPA)</t>
        </is>
      </c>
      <c r="C115" s="7" t="inlineStr">
        <is>
          <t>M3</t>
        </is>
      </c>
      <c r="D115" s="7" t="inlineStr">
        <is>
          <t>LSE-02</t>
        </is>
      </c>
      <c r="E115" s="7" t="inlineStr">
        <is>
          <t>Term (other than auction)?</t>
        </is>
      </c>
      <c r="F115" s="7" t="inlineStr">
        <is>
          <t>&gt; 10 and &lt;= 20 yrs</t>
        </is>
      </c>
      <c r="G115" s="20">
        <f>&gt; 30(3)(b)(ii)</f>
        <v/>
      </c>
    </row>
    <row r="116">
      <c r="A116" s="7" t="inlineStr">
        <is>
          <t>DN-31</t>
        </is>
      </c>
      <c r="B116" s="7" t="inlineStr">
        <is>
          <t>Lease (incl. Sub-lease, Agreement to Let, Mining Lease / MDPA)</t>
        </is>
      </c>
      <c r="C116" s="7" t="inlineStr">
        <is>
          <t>M3</t>
        </is>
      </c>
      <c r="D116" s="7" t="inlineStr">
        <is>
          <t>LSE-02</t>
        </is>
      </c>
      <c r="E116" s="7" t="inlineStr">
        <is>
          <t>Term (other than auction)?</t>
        </is>
      </c>
      <c r="F116" s="7" t="inlineStr">
        <is>
          <t>&gt; 20 and &lt;= 30 yrs</t>
        </is>
      </c>
      <c r="G116" s="20">
        <f>&gt; 30(3)(b)(iii)</f>
        <v/>
      </c>
    </row>
    <row r="117">
      <c r="A117" s="7" t="inlineStr">
        <is>
          <t>DN-31</t>
        </is>
      </c>
      <c r="B117" s="7" t="inlineStr">
        <is>
          <t>Lease (incl. Sub-lease, Agreement to Let, Mining Lease / MDPA)</t>
        </is>
      </c>
      <c r="C117" s="7" t="inlineStr">
        <is>
          <t>M3</t>
        </is>
      </c>
      <c r="D117" s="7" t="inlineStr">
        <is>
          <t>LSE-02</t>
        </is>
      </c>
      <c r="E117" s="7" t="inlineStr">
        <is>
          <t>Term (other than auction)?</t>
        </is>
      </c>
      <c r="F117" s="7" t="inlineStr">
        <is>
          <t>&gt; 30 yrs / perpetual / indefinite</t>
        </is>
      </c>
      <c r="G117" s="20">
        <f>&gt; 30(3)(b)(iv)</f>
        <v/>
      </c>
    </row>
    <row r="118">
      <c r="A118" s="7" t="inlineStr">
        <is>
          <t>DN-31</t>
        </is>
      </c>
      <c r="B118" s="7" t="inlineStr">
        <is>
          <t>Lease (incl. Sub-lease, Agreement to Let, Mining Lease / MDPA)</t>
        </is>
      </c>
      <c r="C118" s="7" t="inlineStr">
        <is>
          <t>1</t>
        </is>
      </c>
      <c r="D118" s="7" t="inlineStr">
        <is>
          <t>LSE-01</t>
        </is>
      </c>
      <c r="E118" s="7" t="inlineStr">
        <is>
          <t>Type of lease?</t>
        </is>
      </c>
      <c r="F118" s="7" t="inlineStr">
        <is>
          <t>Lease / sub-lease / agreement to let</t>
        </is>
      </c>
      <c r="G118" s="7" t="inlineStr">
        <is>
          <t>Step 2</t>
        </is>
      </c>
    </row>
    <row r="119">
      <c r="A119" s="7" t="inlineStr">
        <is>
          <t>DN-31</t>
        </is>
      </c>
      <c r="B119" s="7" t="inlineStr">
        <is>
          <t>Lease (incl. Sub-lease, Agreement to Let, Mining Lease / MDPA)</t>
        </is>
      </c>
      <c r="C119" s="7" t="inlineStr">
        <is>
          <t>2</t>
        </is>
      </c>
      <c r="D119" s="7" t="inlineStr">
        <is>
          <t>PRP-01</t>
        </is>
      </c>
      <c r="E119" s="7" t="inlineStr">
        <is>
          <t>Leased property is?</t>
        </is>
      </c>
      <c r="F119" s="7" t="inlineStr">
        <is>
          <t>Movable</t>
        </is>
      </c>
      <c r="G119" s="7" t="inlineStr">
        <is>
          <t>Step V1</t>
        </is>
      </c>
    </row>
    <row r="120">
      <c r="A120" s="7" t="inlineStr">
        <is>
          <t>DN-31</t>
        </is>
      </c>
      <c r="B120" s="7" t="inlineStr">
        <is>
          <t>Lease (incl. Sub-lease, Agreement to Let, Mining Lease / MDPA)</t>
        </is>
      </c>
      <c r="C120" s="7" t="inlineStr">
        <is>
          <t>V1</t>
        </is>
      </c>
      <c r="D120" s="7" t="inlineStr">
        <is>
          <t>LSE-07</t>
        </is>
      </c>
      <c r="E120" s="7" t="inlineStr">
        <is>
          <t>Consideration structure?</t>
        </is>
      </c>
      <c r="F120" s="7" t="inlineStr">
        <is>
          <t>Rent only, term &lt;= 10 yrs</t>
        </is>
      </c>
      <c r="G120" s="20">
        <f>&gt; 30(2)(a)(i)</f>
        <v/>
      </c>
    </row>
    <row r="121">
      <c r="A121" s="7" t="inlineStr">
        <is>
          <t>DN-31</t>
        </is>
      </c>
      <c r="B121" s="7" t="inlineStr">
        <is>
          <t>Lease (incl. Sub-lease, Agreement to Let, Mining Lease / MDPA)</t>
        </is>
      </c>
      <c r="C121" s="7" t="inlineStr">
        <is>
          <t>V1</t>
        </is>
      </c>
      <c r="D121" s="7" t="inlineStr">
        <is>
          <t>LSE-07</t>
        </is>
      </c>
      <c r="E121" s="7" t="inlineStr">
        <is>
          <t>Consideration structure?</t>
        </is>
      </c>
      <c r="F121" s="7" t="inlineStr">
        <is>
          <t>Rent only, term &gt; 10 yrs</t>
        </is>
      </c>
      <c r="G121" s="20">
        <f>&gt; 30(2)(a)(ii)</f>
        <v/>
      </c>
    </row>
    <row r="122">
      <c r="A122" s="7" t="inlineStr">
        <is>
          <t>DN-31</t>
        </is>
      </c>
      <c r="B122" s="7" t="inlineStr">
        <is>
          <t>Lease (incl. Sub-lease, Agreement to Let, Mining Lease / MDPA)</t>
        </is>
      </c>
      <c r="C122" s="7" t="inlineStr">
        <is>
          <t>V1</t>
        </is>
      </c>
      <c r="D122" s="7" t="inlineStr">
        <is>
          <t>LSE-07</t>
        </is>
      </c>
      <c r="E122" s="7" t="inlineStr">
        <is>
          <t>Consideration structure?</t>
        </is>
      </c>
      <c r="F122" s="7" t="inlineStr">
        <is>
          <t>Premium / advance only</t>
        </is>
      </c>
      <c r="G122" s="20">
        <f>&gt; 30(2)(b)</f>
        <v/>
      </c>
    </row>
    <row r="123">
      <c r="A123" s="7" t="inlineStr">
        <is>
          <t>DN-31</t>
        </is>
      </c>
      <c r="B123" s="7" t="inlineStr">
        <is>
          <t>Lease (incl. Sub-lease, Agreement to Let, Mining Lease / MDPA)</t>
        </is>
      </c>
      <c r="C123" s="7" t="inlineStr">
        <is>
          <t>V1</t>
        </is>
      </c>
      <c r="D123" s="7" t="inlineStr">
        <is>
          <t>LSE-07</t>
        </is>
      </c>
      <c r="E123" s="7" t="inlineStr">
        <is>
          <t>Consideration structure?</t>
        </is>
      </c>
      <c r="F123" s="7" t="inlineStr">
        <is>
          <t>Premium / advance + rent</t>
        </is>
      </c>
      <c r="G123" s="20">
        <f>&gt; 30(2)(c)</f>
        <v/>
      </c>
    </row>
    <row r="124">
      <c r="A124" s="7" t="inlineStr">
        <is>
          <t>DN-31</t>
        </is>
      </c>
      <c r="B124" s="7" t="inlineStr">
        <is>
          <t>Lease (incl. Sub-lease, Agreement to Let, Mining Lease / MDPA)</t>
        </is>
      </c>
      <c r="C124" s="7" t="inlineStr">
        <is>
          <t>2</t>
        </is>
      </c>
      <c r="D124" s="7" t="inlineStr">
        <is>
          <t>PRP-01</t>
        </is>
      </c>
      <c r="E124" s="7" t="inlineStr">
        <is>
          <t>Leased property is?</t>
        </is>
      </c>
      <c r="F124" s="7" t="inlineStr">
        <is>
          <t>Immovable</t>
        </is>
      </c>
      <c r="G124" s="7" t="inlineStr">
        <is>
          <t>Step 3</t>
        </is>
      </c>
    </row>
    <row r="125">
      <c r="A125" s="7" t="inlineStr">
        <is>
          <t>DN-31</t>
        </is>
      </c>
      <c r="B125" s="7" t="inlineStr">
        <is>
          <t>Lease (incl. Sub-lease, Agreement to Let, Mining Lease / MDPA)</t>
        </is>
      </c>
      <c r="C125" s="7" t="inlineStr">
        <is>
          <t>3</t>
        </is>
      </c>
      <c r="D125" s="7" t="inlineStr">
        <is>
          <t>GEN-07</t>
        </is>
      </c>
      <c r="E125" s="7" t="inlineStr">
        <is>
          <t>Lessee is wife / husband / father / mother / son / daughter / brother / sister?</t>
        </is>
      </c>
      <c r="F125" s="7" t="inlineStr">
        <is>
          <t>Yes</t>
        </is>
      </c>
      <c r="G125" s="20">
        <f>&gt; 30(1)-Family</f>
        <v/>
      </c>
    </row>
    <row r="126">
      <c r="A126" s="7" t="inlineStr">
        <is>
          <t>DN-31</t>
        </is>
      </c>
      <c r="B126" s="7" t="inlineStr">
        <is>
          <t>Lease (incl. Sub-lease, Agreement to Let, Mining Lease / MDPA)</t>
        </is>
      </c>
      <c r="C126" s="7" t="inlineStr">
        <is>
          <t>3</t>
        </is>
      </c>
      <c r="D126" s="7" t="inlineStr">
        <is>
          <t>GEN-07</t>
        </is>
      </c>
      <c r="E126" s="7" t="inlineStr">
        <is>
          <t>Lessee is a family member (30(1) proviso)?</t>
        </is>
      </c>
      <c r="F126" s="7" t="inlineStr">
        <is>
          <t>No</t>
        </is>
      </c>
      <c r="G126" s="7" t="inlineStr">
        <is>
          <t>Step 4</t>
        </is>
      </c>
    </row>
    <row r="127">
      <c r="A127" s="7" t="inlineStr">
        <is>
          <t>DN-31</t>
        </is>
      </c>
      <c r="B127" s="7" t="inlineStr">
        <is>
          <t>Lease (incl. Sub-lease, Agreement to Let, Mining Lease / MDPA)</t>
        </is>
      </c>
      <c r="C127" s="7" t="inlineStr">
        <is>
          <t>4</t>
        </is>
      </c>
      <c r="D127" s="7" t="inlineStr">
        <is>
          <t>LSE-02</t>
        </is>
      </c>
      <c r="E127" s="7" t="inlineStr">
        <is>
          <t>Term of lease?</t>
        </is>
      </c>
      <c r="F127" s="7" t="inlineStr">
        <is>
          <t>&lt;= 1 yr</t>
        </is>
      </c>
      <c r="G127" s="7" t="inlineStr">
        <is>
          <t>Step 5</t>
        </is>
      </c>
    </row>
    <row r="128">
      <c r="A128" s="7" t="inlineStr">
        <is>
          <t>DN-31</t>
        </is>
      </c>
      <c r="B128" s="7" t="inlineStr">
        <is>
          <t>Lease (incl. Sub-lease, Agreement to Let, Mining Lease / MDPA)</t>
        </is>
      </c>
      <c r="C128" s="7" t="inlineStr">
        <is>
          <t>5</t>
        </is>
      </c>
      <c r="D128" s="7" t="inlineStr">
        <is>
          <t>PRP-04</t>
        </is>
      </c>
      <c r="E128" s="7" t="inlineStr">
        <is>
          <t>Property use?</t>
        </is>
      </c>
      <c r="F128" s="7" t="inlineStr">
        <is>
          <t>Residential</t>
        </is>
      </c>
      <c r="G128" s="20">
        <f>&gt; 30(1)(i)</f>
        <v/>
      </c>
    </row>
    <row r="129">
      <c r="A129" s="7" t="inlineStr">
        <is>
          <t>DN-31</t>
        </is>
      </c>
      <c r="B129" s="7" t="inlineStr">
        <is>
          <t>Lease (incl. Sub-lease, Agreement to Let, Mining Lease / MDPA)</t>
        </is>
      </c>
      <c r="C129" s="7" t="inlineStr">
        <is>
          <t>5</t>
        </is>
      </c>
      <c r="D129" s="7" t="inlineStr">
        <is>
          <t>PRP-04</t>
        </is>
      </c>
      <c r="E129" s="7" t="inlineStr">
        <is>
          <t>Property use?</t>
        </is>
      </c>
      <c r="F129" s="7" t="inlineStr">
        <is>
          <t>Commercial / Industrial</t>
        </is>
      </c>
      <c r="G129" s="20">
        <f>&gt; 30(1)(ii)</f>
        <v/>
      </c>
    </row>
    <row r="130">
      <c r="A130" s="7" t="inlineStr">
        <is>
          <t>DN-31</t>
        </is>
      </c>
      <c r="B130" s="7" t="inlineStr">
        <is>
          <t>Lease (incl. Sub-lease, Agreement to Let, Mining Lease / MDPA)</t>
        </is>
      </c>
      <c r="C130" s="7" t="inlineStr">
        <is>
          <t>4</t>
        </is>
      </c>
      <c r="D130" s="7" t="inlineStr">
        <is>
          <t>LSE-02</t>
        </is>
      </c>
      <c r="E130" s="7" t="inlineStr">
        <is>
          <t>Term of lease?</t>
        </is>
      </c>
      <c r="F130" s="7" t="inlineStr">
        <is>
          <t>&gt; 1 and &lt;= 10 yrs</t>
        </is>
      </c>
      <c r="G130" s="20">
        <f>&gt; 30(1)(iii)</f>
        <v/>
      </c>
    </row>
    <row r="131">
      <c r="A131" s="7" t="inlineStr">
        <is>
          <t>DN-31</t>
        </is>
      </c>
      <c r="B131" s="7" t="inlineStr">
        <is>
          <t>Lease (incl. Sub-lease, Agreement to Let, Mining Lease / MDPA)</t>
        </is>
      </c>
      <c r="C131" s="7" t="inlineStr">
        <is>
          <t>4</t>
        </is>
      </c>
      <c r="D131" s="7" t="inlineStr">
        <is>
          <t>LSE-02</t>
        </is>
      </c>
      <c r="E131" s="7" t="inlineStr">
        <is>
          <t>Term of lease?</t>
        </is>
      </c>
      <c r="F131" s="7" t="inlineStr">
        <is>
          <t>&gt; 10 and &lt;= 20 yrs</t>
        </is>
      </c>
      <c r="G131" s="20">
        <f>&gt; 30(1)(iv)</f>
        <v/>
      </c>
    </row>
    <row r="132">
      <c r="A132" s="7" t="inlineStr">
        <is>
          <t>DN-31</t>
        </is>
      </c>
      <c r="B132" s="7" t="inlineStr">
        <is>
          <t>Lease (incl. Sub-lease, Agreement to Let, Mining Lease / MDPA)</t>
        </is>
      </c>
      <c r="C132" s="7" t="inlineStr">
        <is>
          <t>4</t>
        </is>
      </c>
      <c r="D132" s="7" t="inlineStr">
        <is>
          <t>LSE-02</t>
        </is>
      </c>
      <c r="E132" s="7" t="inlineStr">
        <is>
          <t>Term of lease?</t>
        </is>
      </c>
      <c r="F132" s="7" t="inlineStr">
        <is>
          <t>&gt; 20 and &lt;= 30 yrs</t>
        </is>
      </c>
      <c r="G132" s="20">
        <f>&gt; 30(1)(v)</f>
        <v/>
      </c>
    </row>
    <row r="133">
      <c r="A133" s="7" t="inlineStr">
        <is>
          <t>DN-31</t>
        </is>
      </c>
      <c r="B133" s="7" t="inlineStr">
        <is>
          <t>Lease (incl. Sub-lease, Agreement to Let, Mining Lease / MDPA)</t>
        </is>
      </c>
      <c r="C133" s="7" t="inlineStr">
        <is>
          <t>4</t>
        </is>
      </c>
      <c r="D133" s="7" t="inlineStr">
        <is>
          <t>LSE-02</t>
        </is>
      </c>
      <c r="E133" s="7" t="inlineStr">
        <is>
          <t>Term of lease?</t>
        </is>
      </c>
      <c r="F133" s="7" t="inlineStr">
        <is>
          <t>&gt; 30 yrs / perpetual / indefinite</t>
        </is>
      </c>
      <c r="G133" s="20">
        <f>&gt; 30(1)(vi)</f>
        <v/>
      </c>
    </row>
    <row r="134">
      <c r="A134" s="9" t="inlineStr">
        <is>
          <t>DN-32</t>
        </is>
      </c>
      <c r="B134" s="9" t="inlineStr">
        <is>
          <t>Letter of Allotment of Shares</t>
        </is>
      </c>
      <c r="C134" s="7" t="inlineStr">
        <is>
          <t>1</t>
        </is>
      </c>
      <c r="D134" s="7" t="inlineStr">
        <is>
          <t>-</t>
        </is>
      </c>
      <c r="E134" s="7" t="inlineStr">
        <is>
          <t>No further question - nature decides the article</t>
        </is>
      </c>
      <c r="F134" s="7" t="inlineStr">
        <is>
          <t>-</t>
        </is>
      </c>
      <c r="G134" s="20">
        <f>&gt; 31</f>
        <v/>
      </c>
    </row>
    <row r="135">
      <c r="A135" s="7" t="inlineStr">
        <is>
          <t>DN-33</t>
        </is>
      </c>
      <c r="B135" s="7" t="inlineStr">
        <is>
          <t>Letter of Licence (Debtor - Creditors)</t>
        </is>
      </c>
      <c r="C135" s="7" t="inlineStr">
        <is>
          <t>1</t>
        </is>
      </c>
      <c r="D135" s="7" t="inlineStr">
        <is>
          <t>-</t>
        </is>
      </c>
      <c r="E135" s="7" t="inlineStr">
        <is>
          <t>No further question - nature decides the article</t>
        </is>
      </c>
      <c r="F135" s="7" t="inlineStr">
        <is>
          <t>-</t>
        </is>
      </c>
      <c r="G135" s="20">
        <f>&gt; 32</f>
        <v/>
      </c>
    </row>
    <row r="136">
      <c r="A136" s="9" t="inlineStr">
        <is>
          <t>DN-34</t>
        </is>
      </c>
      <c r="B136" s="9" t="inlineStr">
        <is>
          <t>Licence of Immovable / Movable Property (Leave &amp; Licence)</t>
        </is>
      </c>
      <c r="C136" s="7" t="inlineStr">
        <is>
          <t>1</t>
        </is>
      </c>
      <c r="D136" s="7" t="inlineStr">
        <is>
          <t>LSE-02</t>
        </is>
      </c>
      <c r="E136" s="7" t="inlineStr">
        <is>
          <t>Term of licence?</t>
        </is>
      </c>
      <c r="F136" s="7" t="inlineStr">
        <is>
          <t>&lt;= 1 yr</t>
        </is>
      </c>
      <c r="G136" s="7" t="inlineStr">
        <is>
          <t>Step 2</t>
        </is>
      </c>
    </row>
    <row r="137">
      <c r="A137" s="9" t="inlineStr">
        <is>
          <t>DN-34</t>
        </is>
      </c>
      <c r="B137" s="9" t="inlineStr">
        <is>
          <t>Licence of Immovable / Movable Property (Leave &amp; Licence)</t>
        </is>
      </c>
      <c r="C137" s="7" t="inlineStr">
        <is>
          <t>2</t>
        </is>
      </c>
      <c r="D137" s="7" t="inlineStr">
        <is>
          <t>PRP-04</t>
        </is>
      </c>
      <c r="E137" s="7" t="inlineStr">
        <is>
          <t>Property use?</t>
        </is>
      </c>
      <c r="F137" s="7" t="inlineStr">
        <is>
          <t>Residential</t>
        </is>
      </c>
      <c r="G137" s="20">
        <f>&gt; 32-A(i)</f>
        <v/>
      </c>
    </row>
    <row r="138">
      <c r="A138" s="9" t="inlineStr">
        <is>
          <t>DN-34</t>
        </is>
      </c>
      <c r="B138" s="9" t="inlineStr">
        <is>
          <t>Licence of Immovable / Movable Property (Leave &amp; Licence)</t>
        </is>
      </c>
      <c r="C138" s="7" t="inlineStr">
        <is>
          <t>2</t>
        </is>
      </c>
      <c r="D138" s="7" t="inlineStr">
        <is>
          <t>PRP-04</t>
        </is>
      </c>
      <c r="E138" s="7" t="inlineStr">
        <is>
          <t>Property use?</t>
        </is>
      </c>
      <c r="F138" s="7" t="inlineStr">
        <is>
          <t>Commercial / Industrial</t>
        </is>
      </c>
      <c r="G138" s="20">
        <f>&gt; 32-A(ii)</f>
        <v/>
      </c>
    </row>
    <row r="139">
      <c r="A139" s="9" t="inlineStr">
        <is>
          <t>DN-34</t>
        </is>
      </c>
      <c r="B139" s="9" t="inlineStr">
        <is>
          <t>Licence of Immovable / Movable Property (Leave &amp; Licence)</t>
        </is>
      </c>
      <c r="C139" s="7" t="inlineStr">
        <is>
          <t>1</t>
        </is>
      </c>
      <c r="D139" s="7" t="inlineStr">
        <is>
          <t>LSE-02</t>
        </is>
      </c>
      <c r="E139" s="7" t="inlineStr">
        <is>
          <t>Term of licence?</t>
        </is>
      </c>
      <c r="F139" s="7" t="inlineStr">
        <is>
          <t>&gt; 1 and &lt;= 10 yrs</t>
        </is>
      </c>
      <c r="G139" s="20">
        <f>&gt; 32-A(iii)</f>
        <v/>
      </c>
    </row>
    <row r="140">
      <c r="A140" s="9" t="inlineStr">
        <is>
          <t>DN-34</t>
        </is>
      </c>
      <c r="B140" s="9" t="inlineStr">
        <is>
          <t>Licence of Immovable / Movable Property (Leave &amp; Licence)</t>
        </is>
      </c>
      <c r="C140" s="7" t="inlineStr">
        <is>
          <t>1</t>
        </is>
      </c>
      <c r="D140" s="7" t="inlineStr">
        <is>
          <t>LSE-02</t>
        </is>
      </c>
      <c r="E140" s="7" t="inlineStr">
        <is>
          <t>Term of licence?</t>
        </is>
      </c>
      <c r="F140" s="7" t="inlineStr">
        <is>
          <t>&gt; 10 and &lt;= 20 yrs</t>
        </is>
      </c>
      <c r="G140" s="20">
        <f>&gt; 32-A(iv)</f>
        <v/>
      </c>
    </row>
    <row r="141">
      <c r="A141" s="9" t="inlineStr">
        <is>
          <t>DN-34</t>
        </is>
      </c>
      <c r="B141" s="9" t="inlineStr">
        <is>
          <t>Licence of Immovable / Movable Property (Leave &amp; Licence)</t>
        </is>
      </c>
      <c r="C141" s="7" t="inlineStr">
        <is>
          <t>1</t>
        </is>
      </c>
      <c r="D141" s="7" t="inlineStr">
        <is>
          <t>LSE-02</t>
        </is>
      </c>
      <c r="E141" s="7" t="inlineStr">
        <is>
          <t>Term of licence?</t>
        </is>
      </c>
      <c r="F141" s="7" t="inlineStr">
        <is>
          <t>&gt; 20 and &lt;= 30 yrs</t>
        </is>
      </c>
      <c r="G141" s="20">
        <f>&gt; 32-A(v)</f>
        <v/>
      </c>
    </row>
    <row r="142">
      <c r="A142" s="7" t="inlineStr">
        <is>
          <t>DN-35</t>
        </is>
      </c>
      <c r="B142" s="7" t="inlineStr">
        <is>
          <t>Memorandum of Association</t>
        </is>
      </c>
      <c r="C142" s="7" t="inlineStr">
        <is>
          <t>1</t>
        </is>
      </c>
      <c r="D142" s="7" t="inlineStr">
        <is>
          <t>CMP-03</t>
        </is>
      </c>
      <c r="E142" s="7" t="inlineStr">
        <is>
          <t>Accompanied by Articles of Association?</t>
        </is>
      </c>
      <c r="F142" s="7" t="inlineStr">
        <is>
          <t>Yes</t>
        </is>
      </c>
      <c r="G142" s="20">
        <f>&gt; 33(a)</f>
        <v/>
      </c>
    </row>
    <row r="143">
      <c r="A143" s="7" t="inlineStr">
        <is>
          <t>DN-35</t>
        </is>
      </c>
      <c r="B143" s="7" t="inlineStr">
        <is>
          <t>Memorandum of Association</t>
        </is>
      </c>
      <c r="C143" s="7" t="inlineStr">
        <is>
          <t>1</t>
        </is>
      </c>
      <c r="D143" s="7" t="inlineStr">
        <is>
          <t>CMP-03</t>
        </is>
      </c>
      <c r="E143" s="7" t="inlineStr">
        <is>
          <t>Accompanied by Articles of Association?</t>
        </is>
      </c>
      <c r="F143" s="7" t="inlineStr">
        <is>
          <t>No</t>
        </is>
      </c>
      <c r="G143" s="20">
        <f>&gt; 33(b)</f>
        <v/>
      </c>
    </row>
    <row r="144">
      <c r="A144" s="9" t="inlineStr">
        <is>
          <t>DN-36</t>
        </is>
      </c>
      <c r="B144" s="9" t="inlineStr">
        <is>
          <t>Mortgage Deed (incl. Hypothecation, Collateral Security)</t>
        </is>
      </c>
      <c r="C144" s="7" t="inlineStr">
        <is>
          <t>1</t>
        </is>
      </c>
      <c r="D144" s="7" t="inlineStr">
        <is>
          <t>LON-03</t>
        </is>
      </c>
      <c r="E144" s="7" t="inlineStr">
        <is>
          <t>Form of security?</t>
        </is>
      </c>
      <c r="F144" s="7" t="inlineStr">
        <is>
          <t>Mortgage of immovable property</t>
        </is>
      </c>
      <c r="G144" s="7" t="inlineStr">
        <is>
          <t>Step 2</t>
        </is>
      </c>
    </row>
    <row r="145">
      <c r="A145" s="9" t="inlineStr">
        <is>
          <t>DN-36</t>
        </is>
      </c>
      <c r="B145" s="9" t="inlineStr">
        <is>
          <t>Mortgage Deed (incl. Hypothecation, Collateral Security)</t>
        </is>
      </c>
      <c r="C145" s="7" t="inlineStr">
        <is>
          <t>2</t>
        </is>
      </c>
      <c r="D145" s="7" t="inlineStr">
        <is>
          <t>LON-04</t>
        </is>
      </c>
      <c r="E145" s="7" t="inlineStr">
        <is>
          <t>Possession given / agreed to mortgagee (incl. POA to collect rent / lease)?</t>
        </is>
      </c>
      <c r="F145" s="7" t="inlineStr">
        <is>
          <t>Yes</t>
        </is>
      </c>
      <c r="G145" s="20">
        <f>&gt; 34(a)</f>
        <v/>
      </c>
    </row>
    <row r="146">
      <c r="A146" s="9" t="inlineStr">
        <is>
          <t>DN-36</t>
        </is>
      </c>
      <c r="B146" s="9" t="inlineStr">
        <is>
          <t>Mortgage Deed (incl. Hypothecation, Collateral Security)</t>
        </is>
      </c>
      <c r="C146" s="7" t="inlineStr">
        <is>
          <t>2</t>
        </is>
      </c>
      <c r="D146" s="7" t="inlineStr">
        <is>
          <t>LON-04</t>
        </is>
      </c>
      <c r="E146" s="7" t="inlineStr">
        <is>
          <t>Possession given / agreed to mortgagee?</t>
        </is>
      </c>
      <c r="F146" s="7" t="inlineStr">
        <is>
          <t>No</t>
        </is>
      </c>
      <c r="G146" s="20">
        <f>&gt; 34(b)</f>
        <v/>
      </c>
    </row>
    <row r="147">
      <c r="A147" s="9" t="inlineStr">
        <is>
          <t>DN-36</t>
        </is>
      </c>
      <c r="B147" s="9" t="inlineStr">
        <is>
          <t>Mortgage Deed (incl. Hypothecation, Collateral Security)</t>
        </is>
      </c>
      <c r="C147" s="7" t="inlineStr">
        <is>
          <t>1</t>
        </is>
      </c>
      <c r="D147" s="7" t="inlineStr">
        <is>
          <t>LON-03</t>
        </is>
      </c>
      <c r="E147" s="7" t="inlineStr">
        <is>
          <t>Form of security?</t>
        </is>
      </c>
      <c r="F147" s="7" t="inlineStr">
        <is>
          <t>Collateral / additional / substituted security</t>
        </is>
      </c>
      <c r="G147" s="7" t="inlineStr">
        <is>
          <t>Step 3</t>
        </is>
      </c>
    </row>
    <row r="148">
      <c r="A148" s="9" t="inlineStr">
        <is>
          <t>DN-36</t>
        </is>
      </c>
      <c r="B148" s="9" t="inlineStr">
        <is>
          <t>Mortgage Deed (incl. Hypothecation, Collateral Security)</t>
        </is>
      </c>
      <c r="C148" s="7" t="inlineStr">
        <is>
          <t>3</t>
        </is>
      </c>
      <c r="D148" s="7" t="inlineStr">
        <is>
          <t>LON-05</t>
        </is>
      </c>
      <c r="E148" s="7" t="inlineStr">
        <is>
          <t>Primary security duly stamped?</t>
        </is>
      </c>
      <c r="F148" s="7" t="inlineStr">
        <is>
          <t>No</t>
        </is>
      </c>
      <c r="G148" s="7" t="inlineStr">
        <is>
          <t>Treat as primary mortgage -&gt; Step 2</t>
        </is>
      </c>
    </row>
    <row r="149">
      <c r="A149" s="9" t="inlineStr">
        <is>
          <t>DN-36</t>
        </is>
      </c>
      <c r="B149" s="9" t="inlineStr">
        <is>
          <t>Mortgage Deed (incl. Hypothecation, Collateral Security)</t>
        </is>
      </c>
      <c r="C149" s="7" t="inlineStr">
        <is>
          <t>3</t>
        </is>
      </c>
      <c r="D149" s="7" t="inlineStr">
        <is>
          <t>LON-01</t>
        </is>
      </c>
      <c r="E149" s="7" t="inlineStr">
        <is>
          <t>Primary stamped; sum secured?</t>
        </is>
      </c>
      <c r="F149" s="7" t="inlineStr">
        <is>
          <t>&lt;= Rs.1,000</t>
        </is>
      </c>
      <c r="G149" s="20">
        <f>&gt; 34(c)(i)</f>
        <v/>
      </c>
    </row>
    <row r="150">
      <c r="A150" s="9" t="inlineStr">
        <is>
          <t>DN-36</t>
        </is>
      </c>
      <c r="B150" s="9" t="inlineStr">
        <is>
          <t>Mortgage Deed (incl. Hypothecation, Collateral Security)</t>
        </is>
      </c>
      <c r="C150" s="7" t="inlineStr">
        <is>
          <t>3</t>
        </is>
      </c>
      <c r="D150" s="7" t="inlineStr">
        <is>
          <t>LON-01</t>
        </is>
      </c>
      <c r="E150" s="7" t="inlineStr">
        <is>
          <t>Primary stamped; sum secured?</t>
        </is>
      </c>
      <c r="F150" s="7" t="inlineStr">
        <is>
          <t>&gt; Rs.1,000</t>
        </is>
      </c>
      <c r="G150" s="20">
        <f>&gt; 34(c)(ii)</f>
        <v/>
      </c>
    </row>
    <row r="151">
      <c r="A151" s="9" t="inlineStr">
        <is>
          <t>DN-36</t>
        </is>
      </c>
      <c r="B151" s="9" t="inlineStr">
        <is>
          <t>Mortgage Deed (incl. Hypothecation, Collateral Security)</t>
        </is>
      </c>
      <c r="C151" s="7" t="inlineStr">
        <is>
          <t>1</t>
        </is>
      </c>
      <c r="D151" s="7" t="inlineStr">
        <is>
          <t>LON-03</t>
        </is>
      </c>
      <c r="E151" s="7" t="inlineStr">
        <is>
          <t>Form of security?</t>
        </is>
      </c>
      <c r="F151" s="7" t="inlineStr">
        <is>
          <t>Hypothecation of movable property</t>
        </is>
      </c>
      <c r="G151" s="7" t="inlineStr">
        <is>
          <t>Step 4</t>
        </is>
      </c>
    </row>
    <row r="152">
      <c r="A152" s="9" t="inlineStr">
        <is>
          <t>DN-36</t>
        </is>
      </c>
      <c r="B152" s="9" t="inlineStr">
        <is>
          <t>Mortgage Deed (incl. Hypothecation, Collateral Security)</t>
        </is>
      </c>
      <c r="C152" s="7" t="inlineStr">
        <is>
          <t>4</t>
        </is>
      </c>
      <c r="D152" s="7" t="inlineStr">
        <is>
          <t>LON-01</t>
        </is>
      </c>
      <c r="E152" s="7" t="inlineStr">
        <is>
          <t>Loan amount?</t>
        </is>
      </c>
      <c r="F152" s="7" t="inlineStr">
        <is>
          <t>&lt;= Rs.10 lakh</t>
        </is>
      </c>
      <c r="G152" s="20">
        <f>&gt; 34(d)(i)</f>
        <v/>
      </c>
    </row>
    <row r="153">
      <c r="A153" s="9" t="inlineStr">
        <is>
          <t>DN-36</t>
        </is>
      </c>
      <c r="B153" s="9" t="inlineStr">
        <is>
          <t>Mortgage Deed (incl. Hypothecation, Collateral Security)</t>
        </is>
      </c>
      <c r="C153" s="7" t="inlineStr">
        <is>
          <t>4</t>
        </is>
      </c>
      <c r="D153" s="7" t="inlineStr">
        <is>
          <t>LON-01</t>
        </is>
      </c>
      <c r="E153" s="7" t="inlineStr">
        <is>
          <t>Loan amount?</t>
        </is>
      </c>
      <c r="F153" s="7" t="inlineStr">
        <is>
          <t>&gt; Rs.10 lakh</t>
        </is>
      </c>
      <c r="G153" s="20">
        <f>&gt; 34(d)(ii)</f>
        <v/>
      </c>
    </row>
    <row r="154">
      <c r="A154" s="7" t="inlineStr">
        <is>
          <t>DN-37</t>
        </is>
      </c>
      <c r="B154" s="7" t="inlineStr">
        <is>
          <t>Mortgage of Crop</t>
        </is>
      </c>
      <c r="C154" s="7" t="inlineStr">
        <is>
          <t>1</t>
        </is>
      </c>
      <c r="D154" s="7" t="inlineStr">
        <is>
          <t>LON-10</t>
        </is>
      </c>
      <c r="E154" s="7" t="inlineStr">
        <is>
          <t>Repayable within?</t>
        </is>
      </c>
      <c r="F154" s="7" t="inlineStr">
        <is>
          <t>&lt;= 3 months</t>
        </is>
      </c>
      <c r="G154" s="20">
        <f>&gt; 35(a)</f>
        <v/>
      </c>
    </row>
    <row r="155">
      <c r="A155" s="7" t="inlineStr">
        <is>
          <t>DN-37</t>
        </is>
      </c>
      <c r="B155" s="7" t="inlineStr">
        <is>
          <t>Mortgage of Crop</t>
        </is>
      </c>
      <c r="C155" s="7" t="inlineStr">
        <is>
          <t>1</t>
        </is>
      </c>
      <c r="D155" s="7" t="inlineStr">
        <is>
          <t>LON-10</t>
        </is>
      </c>
      <c r="E155" s="7" t="inlineStr">
        <is>
          <t>Repayable within?</t>
        </is>
      </c>
      <c r="F155" s="7" t="inlineStr">
        <is>
          <t>&gt; 3 and &lt;= 18 months</t>
        </is>
      </c>
      <c r="G155" s="20">
        <f>&gt; 35(b)</f>
        <v/>
      </c>
    </row>
    <row r="156">
      <c r="A156" s="9" t="inlineStr">
        <is>
          <t>DN-38</t>
        </is>
      </c>
      <c r="B156" s="9" t="inlineStr">
        <is>
          <t>Notarial Act</t>
        </is>
      </c>
      <c r="C156" s="7" t="inlineStr">
        <is>
          <t>1</t>
        </is>
      </c>
      <c r="D156" s="7" t="inlineStr">
        <is>
          <t>-</t>
        </is>
      </c>
      <c r="E156" s="7" t="inlineStr">
        <is>
          <t>No further question - nature decides the article</t>
        </is>
      </c>
      <c r="F156" s="7" t="inlineStr">
        <is>
          <t>-</t>
        </is>
      </c>
      <c r="G156" s="20">
        <f>&gt; 36</f>
        <v/>
      </c>
    </row>
    <row r="157">
      <c r="A157" s="7" t="inlineStr">
        <is>
          <t>DN-39</t>
        </is>
      </c>
      <c r="B157" s="7" t="inlineStr">
        <is>
          <t>Broker / Agent Note or Contract Note</t>
        </is>
      </c>
      <c r="C157" s="7" t="inlineStr">
        <is>
          <t>1</t>
        </is>
      </c>
      <c r="D157" s="7" t="inlineStr">
        <is>
          <t>CMP-13</t>
        </is>
      </c>
      <c r="E157" s="7" t="inlineStr">
        <is>
          <t>Transaction type?</t>
        </is>
      </c>
      <c r="F157" s="7" t="inlineStr">
        <is>
          <t>Goods / commodities / currencies</t>
        </is>
      </c>
      <c r="G157" s="20">
        <f>&gt; 37(a)</f>
        <v/>
      </c>
    </row>
    <row r="158">
      <c r="A158" s="7" t="inlineStr">
        <is>
          <t>DN-39</t>
        </is>
      </c>
      <c r="B158" s="7" t="inlineStr">
        <is>
          <t>Broker / Agent Note or Contract Note</t>
        </is>
      </c>
      <c r="C158" s="7" t="inlineStr">
        <is>
          <t>1</t>
        </is>
      </c>
      <c r="D158" s="7" t="inlineStr">
        <is>
          <t>CMP-13</t>
        </is>
      </c>
      <c r="E158" s="7" t="inlineStr">
        <is>
          <t>Transaction type?</t>
        </is>
      </c>
      <c r="F158" s="7" t="inlineStr">
        <is>
          <t>Shares</t>
        </is>
      </c>
      <c r="G158" s="20">
        <f>&gt; 37(b)</f>
        <v/>
      </c>
    </row>
    <row r="159">
      <c r="A159" s="7" t="inlineStr">
        <is>
          <t>DN-39</t>
        </is>
      </c>
      <c r="B159" s="7" t="inlineStr">
        <is>
          <t>Broker / Agent Note or Contract Note</t>
        </is>
      </c>
      <c r="C159" s="7" t="inlineStr">
        <is>
          <t>1</t>
        </is>
      </c>
      <c r="D159" s="7" t="inlineStr">
        <is>
          <t>CMP-13</t>
        </is>
      </c>
      <c r="E159" s="7" t="inlineStr">
        <is>
          <t>Transaction type?</t>
        </is>
      </c>
      <c r="F159" s="7" t="inlineStr">
        <is>
          <t>Govt security</t>
        </is>
      </c>
      <c r="G159" s="20">
        <f>&gt; 37(c)</f>
        <v/>
      </c>
    </row>
    <row r="160">
      <c r="A160" s="7" t="inlineStr">
        <is>
          <t>DN-39</t>
        </is>
      </c>
      <c r="B160" s="7" t="inlineStr">
        <is>
          <t>Broker / Agent Note or Contract Note</t>
        </is>
      </c>
      <c r="C160" s="7" t="inlineStr">
        <is>
          <t>1</t>
        </is>
      </c>
      <c r="D160" s="7" t="inlineStr">
        <is>
          <t>CMP-13</t>
        </is>
      </c>
      <c r="E160" s="7" t="inlineStr">
        <is>
          <t>Transaction type?</t>
        </is>
      </c>
      <c r="F160" s="7" t="inlineStr">
        <is>
          <t>Other securities</t>
        </is>
      </c>
      <c r="G160" s="20">
        <f>&gt; 37(d)</f>
        <v/>
      </c>
    </row>
    <row r="161">
      <c r="A161" s="7" t="inlineStr">
        <is>
          <t>DN-39</t>
        </is>
      </c>
      <c r="B161" s="7" t="inlineStr">
        <is>
          <t>Broker / Agent Note or Contract Note</t>
        </is>
      </c>
      <c r="C161" s="7" t="inlineStr">
        <is>
          <t>1</t>
        </is>
      </c>
      <c r="D161" s="7" t="inlineStr">
        <is>
          <t>CMP-13</t>
        </is>
      </c>
      <c r="E161" s="7" t="inlineStr">
        <is>
          <t>Transaction type?</t>
        </is>
      </c>
      <c r="F161" s="7" t="inlineStr">
        <is>
          <t>Futures &amp; options</t>
        </is>
      </c>
      <c r="G161" s="20">
        <f>&gt; 37(e)</f>
        <v/>
      </c>
    </row>
    <row r="162">
      <c r="A162" s="7" t="inlineStr">
        <is>
          <t>DN-39</t>
        </is>
      </c>
      <c r="B162" s="7" t="inlineStr">
        <is>
          <t>Broker / Agent Note or Contract Note</t>
        </is>
      </c>
      <c r="C162" s="7" t="inlineStr">
        <is>
          <t>1</t>
        </is>
      </c>
      <c r="D162" s="7" t="inlineStr">
        <is>
          <t>CMP-13</t>
        </is>
      </c>
      <c r="E162" s="7" t="inlineStr">
        <is>
          <t>Transaction type?</t>
        </is>
      </c>
      <c r="F162" s="7" t="inlineStr">
        <is>
          <t>Commodity forwards</t>
        </is>
      </c>
      <c r="G162" s="20">
        <f>&gt; 37(f)</f>
        <v/>
      </c>
    </row>
    <row r="163">
      <c r="A163" s="9" t="inlineStr">
        <is>
          <t>DN-40</t>
        </is>
      </c>
      <c r="B163" s="9" t="inlineStr">
        <is>
          <t>Note of Protest by Master of Ship</t>
        </is>
      </c>
      <c r="C163" s="7" t="inlineStr">
        <is>
          <t>1</t>
        </is>
      </c>
      <c r="D163" s="7" t="inlineStr">
        <is>
          <t>-</t>
        </is>
      </c>
      <c r="E163" s="7" t="inlineStr">
        <is>
          <t>No further question - nature decides the article</t>
        </is>
      </c>
      <c r="F163" s="7" t="inlineStr">
        <is>
          <t>-</t>
        </is>
      </c>
      <c r="G163" s="20">
        <f>&gt; 38</f>
        <v/>
      </c>
    </row>
    <row r="164">
      <c r="A164" s="7" t="inlineStr">
        <is>
          <t>DN-41</t>
        </is>
      </c>
      <c r="B164" s="7" t="inlineStr">
        <is>
          <t>Partition Deed</t>
        </is>
      </c>
      <c r="C164" s="7" t="inlineStr">
        <is>
          <t>1</t>
        </is>
      </c>
      <c r="D164" s="7" t="inlineStr">
        <is>
          <t>PRT-02</t>
        </is>
      </c>
      <c r="E164" s="7" t="inlineStr">
        <is>
          <t>Property categories in partition?</t>
        </is>
      </c>
      <c r="F164" s="7" t="inlineStr">
        <is>
          <t>Only non-agri in urban local body</t>
        </is>
      </c>
      <c r="G164" s="20">
        <f>&gt; 39(a)(1)</f>
        <v/>
      </c>
    </row>
    <row r="165">
      <c r="A165" s="7" t="inlineStr">
        <is>
          <t>DN-41</t>
        </is>
      </c>
      <c r="B165" s="7" t="inlineStr">
        <is>
          <t>Partition Deed</t>
        </is>
      </c>
      <c r="C165" s="7" t="inlineStr">
        <is>
          <t>1</t>
        </is>
      </c>
      <c r="D165" s="7" t="inlineStr">
        <is>
          <t>PRT-02</t>
        </is>
      </c>
      <c r="E165" s="7" t="inlineStr">
        <is>
          <t>Property categories in partition?</t>
        </is>
      </c>
      <c r="F165" s="7" t="inlineStr">
        <is>
          <t>Only non-agri in other areas</t>
        </is>
      </c>
      <c r="G165" s="20">
        <f>&gt; 39(a)(2)</f>
        <v/>
      </c>
    </row>
    <row r="166">
      <c r="A166" s="7" t="inlineStr">
        <is>
          <t>DN-41</t>
        </is>
      </c>
      <c r="B166" s="7" t="inlineStr">
        <is>
          <t>Partition Deed</t>
        </is>
      </c>
      <c r="C166" s="7" t="inlineStr">
        <is>
          <t>1</t>
        </is>
      </c>
      <c r="D166" s="7" t="inlineStr">
        <is>
          <t>PRT-02</t>
        </is>
      </c>
      <c r="E166" s="7" t="inlineStr">
        <is>
          <t>Property categories in partition?</t>
        </is>
      </c>
      <c r="F166" s="7" t="inlineStr">
        <is>
          <t>Only agricultural land</t>
        </is>
      </c>
      <c r="G166" s="20">
        <f>&gt; 39(b)</f>
        <v/>
      </c>
    </row>
    <row r="167">
      <c r="A167" s="7" t="inlineStr">
        <is>
          <t>DN-41</t>
        </is>
      </c>
      <c r="B167" s="7" t="inlineStr">
        <is>
          <t>Partition Deed</t>
        </is>
      </c>
      <c r="C167" s="7" t="inlineStr">
        <is>
          <t>1</t>
        </is>
      </c>
      <c r="D167" s="7" t="inlineStr">
        <is>
          <t>PRT-02</t>
        </is>
      </c>
      <c r="E167" s="7" t="inlineStr">
        <is>
          <t>Property categories in partition?</t>
        </is>
      </c>
      <c r="F167" s="7" t="inlineStr">
        <is>
          <t>Only movable / money</t>
        </is>
      </c>
      <c r="G167" s="20">
        <f>&gt; 39(c)</f>
        <v/>
      </c>
    </row>
    <row r="168">
      <c r="A168" s="7" t="inlineStr">
        <is>
          <t>DN-41</t>
        </is>
      </c>
      <c r="B168" s="7" t="inlineStr">
        <is>
          <t>Partition Deed</t>
        </is>
      </c>
      <c r="C168" s="7" t="inlineStr">
        <is>
          <t>1</t>
        </is>
      </c>
      <c r="D168" s="7" t="inlineStr">
        <is>
          <t>PRT-02</t>
        </is>
      </c>
      <c r="E168" s="7" t="inlineStr">
        <is>
          <t>Property categories in partition?</t>
        </is>
      </c>
      <c r="F168" s="7" t="inlineStr">
        <is>
          <t>More than one category</t>
        </is>
      </c>
      <c r="G168" s="20">
        <f>&gt; 39(d)</f>
        <v/>
      </c>
    </row>
    <row r="169">
      <c r="A169" s="9" t="inlineStr">
        <is>
          <t>DN-42</t>
        </is>
      </c>
      <c r="B169" s="9" t="inlineStr">
        <is>
          <t>Partnership (Constitution / Reconstitution / Dissolution)</t>
        </is>
      </c>
      <c r="C169" s="7" t="inlineStr">
        <is>
          <t>1</t>
        </is>
      </c>
      <c r="D169" s="7" t="inlineStr">
        <is>
          <t>PTN-01</t>
        </is>
      </c>
      <c r="E169" s="7" t="inlineStr">
        <is>
          <t>Partnership instrument?</t>
        </is>
      </c>
      <c r="F169" s="7" t="inlineStr">
        <is>
          <t>Constitution</t>
        </is>
      </c>
      <c r="G169" s="20">
        <f>&gt; 40-A</f>
        <v/>
      </c>
    </row>
    <row r="170">
      <c r="A170" s="9" t="inlineStr">
        <is>
          <t>DN-42</t>
        </is>
      </c>
      <c r="B170" s="9" t="inlineStr">
        <is>
          <t>Partnership (Constitution / Reconstitution / Dissolution)</t>
        </is>
      </c>
      <c r="C170" s="7" t="inlineStr">
        <is>
          <t>1</t>
        </is>
      </c>
      <c r="D170" s="7" t="inlineStr">
        <is>
          <t>PTN-01</t>
        </is>
      </c>
      <c r="E170" s="7" t="inlineStr">
        <is>
          <t>Partnership instrument?</t>
        </is>
      </c>
      <c r="F170" s="7" t="inlineStr">
        <is>
          <t>Reconstitution</t>
        </is>
      </c>
      <c r="G170" s="7" t="inlineStr">
        <is>
          <t>Step 2</t>
        </is>
      </c>
    </row>
    <row r="171">
      <c r="A171" s="9" t="inlineStr">
        <is>
          <t>DN-42</t>
        </is>
      </c>
      <c r="B171" s="9" t="inlineStr">
        <is>
          <t>Partnership (Constitution / Reconstitution / Dissolution)</t>
        </is>
      </c>
      <c r="C171" s="7" t="inlineStr">
        <is>
          <t>2</t>
        </is>
      </c>
      <c r="D171" s="7" t="inlineStr">
        <is>
          <t>PTN-02</t>
        </is>
      </c>
      <c r="E171" s="7" t="inlineStr">
        <is>
          <t>Outgoing partner's immovable property remains with firm?</t>
        </is>
      </c>
      <c r="F171" s="7" t="inlineStr">
        <is>
          <t>Yes</t>
        </is>
      </c>
      <c r="G171" s="20">
        <f>&gt; 40-B(a)</f>
        <v/>
      </c>
    </row>
    <row r="172">
      <c r="A172" s="9" t="inlineStr">
        <is>
          <t>DN-42</t>
        </is>
      </c>
      <c r="B172" s="9" t="inlineStr">
        <is>
          <t>Partnership (Constitution / Reconstitution / Dissolution)</t>
        </is>
      </c>
      <c r="C172" s="7" t="inlineStr">
        <is>
          <t>2</t>
        </is>
      </c>
      <c r="D172" s="7" t="inlineStr">
        <is>
          <t>PTN-02</t>
        </is>
      </c>
      <c r="E172" s="7" t="inlineStr">
        <is>
          <t>Outgoing partner's immovable property remains with firm?</t>
        </is>
      </c>
      <c r="F172" s="7" t="inlineStr">
        <is>
          <t>No</t>
        </is>
      </c>
      <c r="G172" s="20">
        <f>&gt; 40-B(b)</f>
        <v/>
      </c>
    </row>
    <row r="173">
      <c r="A173" s="9" t="inlineStr">
        <is>
          <t>DN-42</t>
        </is>
      </c>
      <c r="B173" s="9" t="inlineStr">
        <is>
          <t>Partnership (Constitution / Reconstitution / Dissolution)</t>
        </is>
      </c>
      <c r="C173" s="7" t="inlineStr">
        <is>
          <t>1</t>
        </is>
      </c>
      <c r="D173" s="7" t="inlineStr">
        <is>
          <t>PTN-01</t>
        </is>
      </c>
      <c r="E173" s="7" t="inlineStr">
        <is>
          <t>Partnership instrument?</t>
        </is>
      </c>
      <c r="F173" s="7" t="inlineStr">
        <is>
          <t>Dissolution</t>
        </is>
      </c>
      <c r="G173" s="7" t="inlineStr">
        <is>
          <t>Step 3</t>
        </is>
      </c>
    </row>
    <row r="174">
      <c r="A174" s="9" t="inlineStr">
        <is>
          <t>DN-42</t>
        </is>
      </c>
      <c r="B174" s="9" t="inlineStr">
        <is>
          <t>Partnership (Constitution / Reconstitution / Dissolution)</t>
        </is>
      </c>
      <c r="C174" s="7" t="inlineStr">
        <is>
          <t>3</t>
        </is>
      </c>
      <c r="D174" s="7" t="inlineStr">
        <is>
          <t>PTN-03</t>
        </is>
      </c>
      <c r="E174" s="7" t="inlineStr">
        <is>
          <t>One partner's property allotted to another?</t>
        </is>
      </c>
      <c r="F174" s="7" t="inlineStr">
        <is>
          <t>Yes</t>
        </is>
      </c>
      <c r="G174" s="20">
        <f>&gt; 40-C(a)</f>
        <v/>
      </c>
    </row>
    <row r="175">
      <c r="A175" s="9" t="inlineStr">
        <is>
          <t>DN-42</t>
        </is>
      </c>
      <c r="B175" s="9" t="inlineStr">
        <is>
          <t>Partnership (Constitution / Reconstitution / Dissolution)</t>
        </is>
      </c>
      <c r="C175" s="7" t="inlineStr">
        <is>
          <t>3</t>
        </is>
      </c>
      <c r="D175" s="7" t="inlineStr">
        <is>
          <t>PTN-03</t>
        </is>
      </c>
      <c r="E175" s="7" t="inlineStr">
        <is>
          <t>One partner's property allotted to another?</t>
        </is>
      </c>
      <c r="F175" s="7" t="inlineStr">
        <is>
          <t>No</t>
        </is>
      </c>
      <c r="G175" s="20">
        <f>&gt; 40-C(b)</f>
        <v/>
      </c>
    </row>
    <row r="176">
      <c r="A176" s="7" t="inlineStr">
        <is>
          <t>DN-43</t>
        </is>
      </c>
      <c r="B176" s="7" t="inlineStr">
        <is>
          <t>Limited Liability Partnership</t>
        </is>
      </c>
      <c r="C176" s="7" t="inlineStr">
        <is>
          <t>1</t>
        </is>
      </c>
      <c r="D176" s="7" t="inlineStr">
        <is>
          <t>LLP-01</t>
        </is>
      </c>
      <c r="E176" s="7" t="inlineStr">
        <is>
          <t>LLP instrument?</t>
        </is>
      </c>
      <c r="F176" s="7" t="inlineStr">
        <is>
          <t>Constitution / Conversion, capital &lt;= Rs.10 lakh</t>
        </is>
      </c>
      <c r="G176" s="20">
        <f>&gt; 40A-A(a)</f>
        <v/>
      </c>
    </row>
    <row r="177">
      <c r="A177" s="7" t="inlineStr">
        <is>
          <t>DN-43</t>
        </is>
      </c>
      <c r="B177" s="7" t="inlineStr">
        <is>
          <t>Limited Liability Partnership</t>
        </is>
      </c>
      <c r="C177" s="7" t="inlineStr">
        <is>
          <t>1</t>
        </is>
      </c>
      <c r="D177" s="7" t="inlineStr">
        <is>
          <t>LLP-01</t>
        </is>
      </c>
      <c r="E177" s="7" t="inlineStr">
        <is>
          <t>LLP instrument?</t>
        </is>
      </c>
      <c r="F177" s="7" t="inlineStr">
        <is>
          <t>Constitution / Conversion, capital &gt; Rs.10 lakh</t>
        </is>
      </c>
      <c r="G177" s="20">
        <f>&gt; 40A-A(b)</f>
        <v/>
      </c>
    </row>
    <row r="178">
      <c r="A178" s="7" t="inlineStr">
        <is>
          <t>DN-43</t>
        </is>
      </c>
      <c r="B178" s="7" t="inlineStr">
        <is>
          <t>Limited Liability Partnership</t>
        </is>
      </c>
      <c r="C178" s="7" t="inlineStr">
        <is>
          <t>1</t>
        </is>
      </c>
      <c r="D178" s="7" t="inlineStr">
        <is>
          <t>LLP-01</t>
        </is>
      </c>
      <c r="E178" s="7" t="inlineStr">
        <is>
          <t>LLP instrument?</t>
        </is>
      </c>
      <c r="F178" s="7" t="inlineStr">
        <is>
          <t>Reconstruction / amalgamation</t>
        </is>
      </c>
      <c r="G178" s="20">
        <f>&gt; 40A-B</f>
        <v/>
      </c>
    </row>
    <row r="179">
      <c r="A179" s="9" t="inlineStr">
        <is>
          <t>DN-44</t>
        </is>
      </c>
      <c r="B179" s="9" t="inlineStr">
        <is>
          <t>Power of Attorney</t>
        </is>
      </c>
      <c r="C179" s="7" t="inlineStr">
        <is>
          <t>1</t>
        </is>
      </c>
      <c r="D179" s="7" t="inlineStr">
        <is>
          <t>POA-01</t>
        </is>
      </c>
      <c r="E179" s="7" t="inlineStr">
        <is>
          <t>Purpose of POA?</t>
        </is>
      </c>
      <c r="F179" s="7" t="inlineStr">
        <is>
          <t>PP-01 Registration only</t>
        </is>
      </c>
      <c r="G179" s="20">
        <f>&gt; 41(a)</f>
        <v/>
      </c>
    </row>
    <row r="180">
      <c r="A180" s="9" t="inlineStr">
        <is>
          <t>DN-44</t>
        </is>
      </c>
      <c r="B180" s="9" t="inlineStr">
        <is>
          <t>Power of Attorney</t>
        </is>
      </c>
      <c r="C180" s="7" t="inlineStr">
        <is>
          <t>1</t>
        </is>
      </c>
      <c r="D180" s="7" t="inlineStr">
        <is>
          <t>POA-01</t>
        </is>
      </c>
      <c r="E180" s="7" t="inlineStr">
        <is>
          <t>Purpose of POA?</t>
        </is>
      </c>
      <c r="F180" s="7" t="inlineStr">
        <is>
          <t>PP-02 Single transaction</t>
        </is>
      </c>
      <c r="G180" s="20">
        <f>&gt; 41(b)</f>
        <v/>
      </c>
    </row>
    <row r="181">
      <c r="A181" s="9" t="inlineStr">
        <is>
          <t>DN-44</t>
        </is>
      </c>
      <c r="B181" s="9" t="inlineStr">
        <is>
          <t>Power of Attorney</t>
        </is>
      </c>
      <c r="C181" s="7" t="inlineStr">
        <is>
          <t>1</t>
        </is>
      </c>
      <c r="D181" s="7" t="inlineStr">
        <is>
          <t>POA-01</t>
        </is>
      </c>
      <c r="E181" s="7" t="inlineStr">
        <is>
          <t>Purpose of POA?</t>
        </is>
      </c>
      <c r="F181" s="7" t="inlineStr">
        <is>
          <t>PP-03 General / multiple transactions</t>
        </is>
      </c>
      <c r="G181" s="7" t="inlineStr">
        <is>
          <t>Step 2</t>
        </is>
      </c>
    </row>
    <row r="182">
      <c r="A182" s="9" t="inlineStr">
        <is>
          <t>DN-44</t>
        </is>
      </c>
      <c r="B182" s="9" t="inlineStr">
        <is>
          <t>Power of Attorney</t>
        </is>
      </c>
      <c r="C182" s="7" t="inlineStr">
        <is>
          <t>2</t>
        </is>
      </c>
      <c r="D182" s="7" t="inlineStr">
        <is>
          <t>POA-02</t>
        </is>
      </c>
      <c r="E182" s="7" t="inlineStr">
        <is>
          <t>Number of attorneys (same firm = one)?</t>
        </is>
      </c>
      <c r="F182" s="7" t="inlineStr">
        <is>
          <t>1 to 5</t>
        </is>
      </c>
      <c r="G182" s="20">
        <f>&gt; 41(c)</f>
        <v/>
      </c>
    </row>
    <row r="183">
      <c r="A183" s="9" t="inlineStr">
        <is>
          <t>DN-44</t>
        </is>
      </c>
      <c r="B183" s="9" t="inlineStr">
        <is>
          <t>Power of Attorney</t>
        </is>
      </c>
      <c r="C183" s="7" t="inlineStr">
        <is>
          <t>2</t>
        </is>
      </c>
      <c r="D183" s="7" t="inlineStr">
        <is>
          <t>POA-02</t>
        </is>
      </c>
      <c r="E183" s="7" t="inlineStr">
        <is>
          <t>Number of attorneys?</t>
        </is>
      </c>
      <c r="F183" s="7" t="inlineStr">
        <is>
          <t>6 to 10</t>
        </is>
      </c>
      <c r="G183" s="20">
        <f>&gt; 41(d)</f>
        <v/>
      </c>
    </row>
    <row r="184">
      <c r="A184" s="9" t="inlineStr">
        <is>
          <t>DN-44</t>
        </is>
      </c>
      <c r="B184" s="9" t="inlineStr">
        <is>
          <t>Power of Attorney</t>
        </is>
      </c>
      <c r="C184" s="7" t="inlineStr">
        <is>
          <t>2</t>
        </is>
      </c>
      <c r="D184" s="7" t="inlineStr">
        <is>
          <t>POA-02</t>
        </is>
      </c>
      <c r="E184" s="7" t="inlineStr">
        <is>
          <t>Number of attorneys?</t>
        </is>
      </c>
      <c r="F184" s="7" t="inlineStr">
        <is>
          <t>More than 10</t>
        </is>
      </c>
      <c r="G184" s="20">
        <f>&gt; 41(h)</f>
        <v/>
      </c>
    </row>
    <row r="185">
      <c r="A185" s="9" t="inlineStr">
        <is>
          <t>DN-44</t>
        </is>
      </c>
      <c r="B185" s="9" t="inlineStr">
        <is>
          <t>Power of Attorney</t>
        </is>
      </c>
      <c r="C185" s="7" t="inlineStr">
        <is>
          <t>1</t>
        </is>
      </c>
      <c r="D185" s="7" t="inlineStr">
        <is>
          <t>POA-01</t>
        </is>
      </c>
      <c r="E185" s="7" t="inlineStr">
        <is>
          <t>Purpose of POA?</t>
        </is>
      </c>
      <c r="F185" s="7" t="inlineStr">
        <is>
          <t>PP-04 Sell immovable property</t>
        </is>
      </c>
      <c r="G185" s="7" t="inlineStr">
        <is>
          <t>Step 3</t>
        </is>
      </c>
    </row>
    <row r="186">
      <c r="A186" s="9" t="inlineStr">
        <is>
          <t>DN-44</t>
        </is>
      </c>
      <c r="B186" s="9" t="inlineStr">
        <is>
          <t>Power of Attorney</t>
        </is>
      </c>
      <c r="C186" s="7" t="inlineStr">
        <is>
          <t>3</t>
        </is>
      </c>
      <c r="D186" s="7" t="inlineStr">
        <is>
          <t>POA-03</t>
        </is>
      </c>
      <c r="E186" s="7" t="inlineStr">
        <is>
          <t>Given for consideration / coupled with interest?</t>
        </is>
      </c>
      <c r="F186" s="7" t="inlineStr">
        <is>
          <t>Yes</t>
        </is>
      </c>
      <c r="G186" s="20">
        <f>&gt; 41(e)</f>
        <v/>
      </c>
    </row>
    <row r="187">
      <c r="A187" s="9" t="inlineStr">
        <is>
          <t>DN-44</t>
        </is>
      </c>
      <c r="B187" s="9" t="inlineStr">
        <is>
          <t>Power of Attorney</t>
        </is>
      </c>
      <c r="C187" s="7" t="inlineStr">
        <is>
          <t>3</t>
        </is>
      </c>
      <c r="D187" s="7" t="inlineStr">
        <is>
          <t>POA-03</t>
        </is>
      </c>
      <c r="E187" s="7" t="inlineStr">
        <is>
          <t>Given for consideration / coupled with interest?</t>
        </is>
      </c>
      <c r="F187" s="7" t="inlineStr">
        <is>
          <t>No</t>
        </is>
      </c>
      <c r="G187" s="7" t="inlineStr">
        <is>
          <t>Step 4</t>
        </is>
      </c>
    </row>
    <row r="188">
      <c r="A188" s="9" t="inlineStr">
        <is>
          <t>DN-44</t>
        </is>
      </c>
      <c r="B188" s="9" t="inlineStr">
        <is>
          <t>Power of Attorney</t>
        </is>
      </c>
      <c r="C188" s="7" t="inlineStr">
        <is>
          <t>4</t>
        </is>
      </c>
      <c r="D188" s="7" t="inlineStr">
        <is>
          <t>GEN-07 / PRP-05</t>
        </is>
      </c>
      <c r="E188" s="7" t="inlineStr">
        <is>
          <t>Attorney is father / mother / wife / husband / son / daughter / brother / sister?</t>
        </is>
      </c>
      <c r="F188" s="7" t="inlineStr">
        <is>
          <t>No (property in Karnataka)</t>
        </is>
      </c>
      <c r="G188" s="20">
        <f>&gt; 41(eb)</f>
        <v/>
      </c>
    </row>
    <row r="189">
      <c r="A189" s="9" t="inlineStr">
        <is>
          <t>DN-44</t>
        </is>
      </c>
      <c r="B189" s="9" t="inlineStr">
        <is>
          <t>Power of Attorney</t>
        </is>
      </c>
      <c r="C189" s="7" t="inlineStr">
        <is>
          <t>4</t>
        </is>
      </c>
      <c r="D189" s="7" t="inlineStr">
        <is>
          <t>GEN-07</t>
        </is>
      </c>
      <c r="E189" s="7" t="inlineStr">
        <is>
          <t>Attorney is a family member (41(eb) list)?</t>
        </is>
      </c>
      <c r="F189" s="7" t="inlineStr">
        <is>
          <t>Yes - single sale</t>
        </is>
      </c>
      <c r="G189" s="20">
        <f>&gt; 41(b)</f>
        <v/>
      </c>
    </row>
    <row r="190">
      <c r="A190" s="9" t="inlineStr">
        <is>
          <t>DN-44</t>
        </is>
      </c>
      <c r="B190" s="9" t="inlineStr">
        <is>
          <t>Power of Attorney</t>
        </is>
      </c>
      <c r="C190" s="7" t="inlineStr">
        <is>
          <t>4</t>
        </is>
      </c>
      <c r="D190" s="7" t="inlineStr">
        <is>
          <t>GEN-07</t>
        </is>
      </c>
      <c r="E190" s="7" t="inlineStr">
        <is>
          <t>Attorney is a family member (41(eb) list)?</t>
        </is>
      </c>
      <c r="F190" s="7" t="inlineStr">
        <is>
          <t>Yes - general powers incl. sale</t>
        </is>
      </c>
      <c r="G190" s="20">
        <f>&gt; 41(c)/(d) by count, else 41(h)</f>
        <v/>
      </c>
    </row>
    <row r="191">
      <c r="A191" s="9" t="inlineStr">
        <is>
          <t>DN-44</t>
        </is>
      </c>
      <c r="B191" s="9" t="inlineStr">
        <is>
          <t>Power of Attorney</t>
        </is>
      </c>
      <c r="C191" s="7" t="inlineStr">
        <is>
          <t>1</t>
        </is>
      </c>
      <c r="D191" s="7" t="inlineStr">
        <is>
          <t>POA-01</t>
        </is>
      </c>
      <c r="E191" s="7" t="inlineStr">
        <is>
          <t>Purpose of POA?</t>
        </is>
      </c>
      <c r="F191" s="7" t="inlineStr">
        <is>
          <t>PP-05 Joint development</t>
        </is>
      </c>
      <c r="G191" s="20">
        <f>&gt; 41(ea)</f>
        <v/>
      </c>
    </row>
    <row r="192">
      <c r="A192" s="9" t="inlineStr">
        <is>
          <t>DN-44</t>
        </is>
      </c>
      <c r="B192" s="9" t="inlineStr">
        <is>
          <t>Power of Attorney</t>
        </is>
      </c>
      <c r="C192" s="7" t="inlineStr">
        <is>
          <t>1</t>
        </is>
      </c>
      <c r="D192" s="7" t="inlineStr">
        <is>
          <t>POA-01</t>
        </is>
      </c>
      <c r="E192" s="7" t="inlineStr">
        <is>
          <t>Purpose of POA?</t>
        </is>
      </c>
      <c r="F192" s="7" t="inlineStr">
        <is>
          <t>PP-06 Sell TDR</t>
        </is>
      </c>
      <c r="G192" s="7" t="inlineStr">
        <is>
          <t>Step 5</t>
        </is>
      </c>
    </row>
    <row r="193">
      <c r="A193" s="9" t="inlineStr">
        <is>
          <t>DN-44</t>
        </is>
      </c>
      <c r="B193" s="9" t="inlineStr">
        <is>
          <t>Power of Attorney</t>
        </is>
      </c>
      <c r="C193" s="7" t="inlineStr">
        <is>
          <t>5</t>
        </is>
      </c>
      <c r="D193" s="7" t="inlineStr">
        <is>
          <t>GEN-07</t>
        </is>
      </c>
      <c r="E193" s="7" t="inlineStr">
        <is>
          <t>Attorney is a family member (41(eb) list)?</t>
        </is>
      </c>
      <c r="F193" s="7" t="inlineStr">
        <is>
          <t>No</t>
        </is>
      </c>
      <c r="G193" s="20">
        <f>&gt; 41(ec)</f>
        <v/>
      </c>
    </row>
    <row r="194">
      <c r="A194" s="9" t="inlineStr">
        <is>
          <t>DN-44</t>
        </is>
      </c>
      <c r="B194" s="9" t="inlineStr">
        <is>
          <t>Power of Attorney</t>
        </is>
      </c>
      <c r="C194" s="7" t="inlineStr">
        <is>
          <t>5</t>
        </is>
      </c>
      <c r="D194" s="7" t="inlineStr">
        <is>
          <t>GEN-07</t>
        </is>
      </c>
      <c r="E194" s="7" t="inlineStr">
        <is>
          <t>Attorney is a family member (41(eb) list)?</t>
        </is>
      </c>
      <c r="F194" s="7" t="inlineStr">
        <is>
          <t>Yes</t>
        </is>
      </c>
      <c r="G194" s="20">
        <f>&gt; 41(h)</f>
        <v/>
      </c>
    </row>
    <row r="195">
      <c r="A195" s="9" t="inlineStr">
        <is>
          <t>DN-44</t>
        </is>
      </c>
      <c r="B195" s="9" t="inlineStr">
        <is>
          <t>Power of Attorney</t>
        </is>
      </c>
      <c r="C195" s="7" t="inlineStr">
        <is>
          <t>1</t>
        </is>
      </c>
      <c r="D195" s="7" t="inlineStr">
        <is>
          <t>POA-01</t>
        </is>
      </c>
      <c r="E195" s="7" t="inlineStr">
        <is>
          <t>Purpose of POA?</t>
        </is>
      </c>
      <c r="F195" s="7" t="inlineStr">
        <is>
          <t>PP-07 Broker - securities</t>
        </is>
      </c>
      <c r="G195" s="20">
        <f>&gt; 41(f)</f>
        <v/>
      </c>
    </row>
    <row r="196">
      <c r="A196" s="9" t="inlineStr">
        <is>
          <t>DN-44</t>
        </is>
      </c>
      <c r="B196" s="9" t="inlineStr">
        <is>
          <t>Power of Attorney</t>
        </is>
      </c>
      <c r="C196" s="7" t="inlineStr">
        <is>
          <t>1</t>
        </is>
      </c>
      <c r="D196" s="7" t="inlineStr">
        <is>
          <t>POA-01</t>
        </is>
      </c>
      <c r="E196" s="7" t="inlineStr">
        <is>
          <t>Purpose of POA?</t>
        </is>
      </c>
      <c r="F196" s="7" t="inlineStr">
        <is>
          <t>PP-08 Broker - other trading</t>
        </is>
      </c>
      <c r="G196" s="20">
        <f>&gt; 41(g)</f>
        <v/>
      </c>
    </row>
    <row r="197">
      <c r="A197" s="9" t="inlineStr">
        <is>
          <t>DN-44</t>
        </is>
      </c>
      <c r="B197" s="9" t="inlineStr">
        <is>
          <t>Power of Attorney</t>
        </is>
      </c>
      <c r="C197" s="7" t="inlineStr">
        <is>
          <t>1</t>
        </is>
      </c>
      <c r="D197" s="7" t="inlineStr">
        <is>
          <t>POA-01</t>
        </is>
      </c>
      <c r="E197" s="7" t="inlineStr">
        <is>
          <t>Purpose of POA?</t>
        </is>
      </c>
      <c r="F197" s="7" t="inlineStr">
        <is>
          <t>PP-09 Other</t>
        </is>
      </c>
      <c r="G197" s="20">
        <f>&gt; 41(h)</f>
        <v/>
      </c>
    </row>
    <row r="198">
      <c r="A198" s="7" t="inlineStr">
        <is>
          <t>DN-45</t>
        </is>
      </c>
      <c r="B198" s="7" t="inlineStr">
        <is>
          <t>Protest of Bill or Note</t>
        </is>
      </c>
      <c r="C198" s="7" t="inlineStr">
        <is>
          <t>1</t>
        </is>
      </c>
      <c r="D198" s="7" t="inlineStr">
        <is>
          <t>-</t>
        </is>
      </c>
      <c r="E198" s="7" t="inlineStr">
        <is>
          <t>No further question - nature decides the article</t>
        </is>
      </c>
      <c r="F198" s="7" t="inlineStr">
        <is>
          <t>-</t>
        </is>
      </c>
      <c r="G198" s="20">
        <f>&gt; 42</f>
        <v/>
      </c>
    </row>
    <row r="199">
      <c r="A199" s="9" t="inlineStr">
        <is>
          <t>DN-46</t>
        </is>
      </c>
      <c r="B199" s="9" t="inlineStr">
        <is>
          <t>Protest by Master of Ship</t>
        </is>
      </c>
      <c r="C199" s="7" t="inlineStr">
        <is>
          <t>1</t>
        </is>
      </c>
      <c r="D199" s="7" t="inlineStr">
        <is>
          <t>-</t>
        </is>
      </c>
      <c r="E199" s="7" t="inlineStr">
        <is>
          <t>No further question - nature decides the article</t>
        </is>
      </c>
      <c r="F199" s="7" t="inlineStr">
        <is>
          <t>-</t>
        </is>
      </c>
      <c r="G199" s="20">
        <f>&gt; 43</f>
        <v/>
      </c>
    </row>
    <row r="200">
      <c r="A200" s="7" t="inlineStr">
        <is>
          <t>DN-47</t>
        </is>
      </c>
      <c r="B200" s="7" t="inlineStr">
        <is>
          <t>Reconveyance of Mortgaged Property</t>
        </is>
      </c>
      <c r="C200" s="7" t="inlineStr">
        <is>
          <t>1</t>
        </is>
      </c>
      <c r="D200" s="7" t="inlineStr">
        <is>
          <t>LON-14</t>
        </is>
      </c>
      <c r="E200" s="7" t="inlineStr">
        <is>
          <t>Original mortgage consideration?</t>
        </is>
      </c>
      <c r="F200" s="7" t="inlineStr">
        <is>
          <t>&lt;= Rs.1,000</t>
        </is>
      </c>
      <c r="G200" s="20">
        <f>&gt; 44(a)</f>
        <v/>
      </c>
    </row>
    <row r="201">
      <c r="A201" s="7" t="inlineStr">
        <is>
          <t>DN-47</t>
        </is>
      </c>
      <c r="B201" s="7" t="inlineStr">
        <is>
          <t>Reconveyance of Mortgaged Property</t>
        </is>
      </c>
      <c r="C201" s="7" t="inlineStr">
        <is>
          <t>1</t>
        </is>
      </c>
      <c r="D201" s="7" t="inlineStr">
        <is>
          <t>LON-14</t>
        </is>
      </c>
      <c r="E201" s="7" t="inlineStr">
        <is>
          <t>Original mortgage consideration?</t>
        </is>
      </c>
      <c r="F201" s="7" t="inlineStr">
        <is>
          <t>&gt; Rs.1,000</t>
        </is>
      </c>
      <c r="G201" s="20">
        <f>&gt; 44(b)</f>
        <v/>
      </c>
    </row>
    <row r="202">
      <c r="A202" s="9" t="inlineStr">
        <is>
          <t>DN-48</t>
        </is>
      </c>
      <c r="B202" s="9" t="inlineStr">
        <is>
          <t>Release Deed</t>
        </is>
      </c>
      <c r="C202" s="7" t="inlineStr">
        <is>
          <t>1</t>
        </is>
      </c>
      <c r="D202" s="7" t="inlineStr">
        <is>
          <t>REL-01</t>
        </is>
      </c>
      <c r="E202" s="7" t="inlineStr">
        <is>
          <t>What is released?</t>
        </is>
      </c>
      <c r="F202" s="7" t="inlineStr">
        <is>
          <t>Mortgage rights / lien</t>
        </is>
      </c>
      <c r="G202" s="20">
        <f>&gt; 45(c)</f>
        <v/>
      </c>
    </row>
    <row r="203">
      <c r="A203" s="9" t="inlineStr">
        <is>
          <t>DN-48</t>
        </is>
      </c>
      <c r="B203" s="9" t="inlineStr">
        <is>
          <t>Release Deed</t>
        </is>
      </c>
      <c r="C203" s="7" t="inlineStr">
        <is>
          <t>1</t>
        </is>
      </c>
      <c r="D203" s="7" t="inlineStr">
        <is>
          <t>REL-01</t>
        </is>
      </c>
      <c r="E203" s="7" t="inlineStr">
        <is>
          <t>What is released?</t>
        </is>
      </c>
      <c r="F203" s="7" t="inlineStr">
        <is>
          <t>Right / claim / share in property</t>
        </is>
      </c>
      <c r="G203" s="7" t="inlineStr">
        <is>
          <t>Step 2</t>
        </is>
      </c>
    </row>
    <row r="204">
      <c r="A204" s="9" t="inlineStr">
        <is>
          <t>DN-48</t>
        </is>
      </c>
      <c r="B204" s="9" t="inlineStr">
        <is>
          <t>Release Deed</t>
        </is>
      </c>
      <c r="C204" s="7" t="inlineStr">
        <is>
          <t>2</t>
        </is>
      </c>
      <c r="D204" s="7" t="inlineStr">
        <is>
          <t>GEN-07</t>
        </is>
      </c>
      <c r="E204" s="7" t="inlineStr">
        <is>
          <t>Releasee is a family member as per 45(b)?</t>
        </is>
      </c>
      <c r="F204" s="7" t="inlineStr">
        <is>
          <t>Yes</t>
        </is>
      </c>
      <c r="G204" s="20">
        <f>&gt; 45(b)</f>
        <v/>
      </c>
    </row>
    <row r="205">
      <c r="A205" s="9" t="inlineStr">
        <is>
          <t>DN-48</t>
        </is>
      </c>
      <c r="B205" s="9" t="inlineStr">
        <is>
          <t>Release Deed</t>
        </is>
      </c>
      <c r="C205" s="7" t="inlineStr">
        <is>
          <t>2</t>
        </is>
      </c>
      <c r="D205" s="7" t="inlineStr">
        <is>
          <t>GEN-07</t>
        </is>
      </c>
      <c r="E205" s="7" t="inlineStr">
        <is>
          <t>Releasee is a family member as per 45(b)?</t>
        </is>
      </c>
      <c r="F205" s="7" t="inlineStr">
        <is>
          <t>No</t>
        </is>
      </c>
      <c r="G205" s="20">
        <f>&gt; 45(a)</f>
        <v/>
      </c>
    </row>
    <row r="206">
      <c r="A206" s="7" t="inlineStr">
        <is>
          <t>DN-49</t>
        </is>
      </c>
      <c r="B206" s="7" t="inlineStr">
        <is>
          <t>Respondentia Bond</t>
        </is>
      </c>
      <c r="C206" s="7" t="inlineStr">
        <is>
          <t>1</t>
        </is>
      </c>
      <c r="D206" s="7" t="inlineStr">
        <is>
          <t>-</t>
        </is>
      </c>
      <c r="E206" s="7" t="inlineStr">
        <is>
          <t>No further question - nature decides the article</t>
        </is>
      </c>
      <c r="F206" s="7" t="inlineStr">
        <is>
          <t>-</t>
        </is>
      </c>
      <c r="G206" s="20">
        <f>&gt; 46</f>
        <v/>
      </c>
    </row>
    <row r="207">
      <c r="A207" s="9" t="inlineStr">
        <is>
          <t>DN-50</t>
        </is>
      </c>
      <c r="B207" s="9" t="inlineStr">
        <is>
          <t>Security Bond / Surety Bond</t>
        </is>
      </c>
      <c r="C207" s="7" t="inlineStr">
        <is>
          <t>1</t>
        </is>
      </c>
      <c r="D207" s="7" t="inlineStr">
        <is>
          <t>MSC-01</t>
        </is>
      </c>
      <c r="E207" s="7" t="inlineStr">
        <is>
          <t>Amount secured?</t>
        </is>
      </c>
      <c r="F207" s="7" t="inlineStr">
        <is>
          <t>&lt;= Rs.1,000</t>
        </is>
      </c>
      <c r="G207" s="20">
        <f>&gt; 47(a)</f>
        <v/>
      </c>
    </row>
    <row r="208">
      <c r="A208" s="9" t="inlineStr">
        <is>
          <t>DN-50</t>
        </is>
      </c>
      <c r="B208" s="9" t="inlineStr">
        <is>
          <t>Security Bond / Surety Bond</t>
        </is>
      </c>
      <c r="C208" s="7" t="inlineStr">
        <is>
          <t>1</t>
        </is>
      </c>
      <c r="D208" s="7" t="inlineStr">
        <is>
          <t>MSC-01</t>
        </is>
      </c>
      <c r="E208" s="7" t="inlineStr">
        <is>
          <t>Amount secured?</t>
        </is>
      </c>
      <c r="F208" s="7" t="inlineStr">
        <is>
          <t>&gt; Rs.1,000</t>
        </is>
      </c>
      <c r="G208" s="20">
        <f>&gt; 47(b)</f>
        <v/>
      </c>
    </row>
    <row r="209">
      <c r="A209" s="7" t="inlineStr">
        <is>
          <t>DN-51</t>
        </is>
      </c>
      <c r="B209" s="7" t="inlineStr">
        <is>
          <t>Settlement Deed / Revocation of Settlement</t>
        </is>
      </c>
      <c r="C209" s="7" t="inlineStr">
        <is>
          <t>1</t>
        </is>
      </c>
      <c r="D209" s="7" t="inlineStr">
        <is>
          <t>STL-01</t>
        </is>
      </c>
      <c r="E209" s="7" t="inlineStr">
        <is>
          <t>Settlement or revocation?</t>
        </is>
      </c>
      <c r="F209" s="7" t="inlineStr">
        <is>
          <t>Revocation</t>
        </is>
      </c>
      <c r="G209" s="20">
        <f>&gt; 48-B</f>
        <v/>
      </c>
    </row>
    <row r="210">
      <c r="A210" s="7" t="inlineStr">
        <is>
          <t>DN-51</t>
        </is>
      </c>
      <c r="B210" s="7" t="inlineStr">
        <is>
          <t>Settlement Deed / Revocation of Settlement</t>
        </is>
      </c>
      <c r="C210" s="7" t="inlineStr">
        <is>
          <t>1</t>
        </is>
      </c>
      <c r="D210" s="7" t="inlineStr">
        <is>
          <t>STL-01</t>
        </is>
      </c>
      <c r="E210" s="7" t="inlineStr">
        <is>
          <t>Settlement or revocation?</t>
        </is>
      </c>
      <c r="F210" s="7" t="inlineStr">
        <is>
          <t>Settlement</t>
        </is>
      </c>
      <c r="G210" s="7" t="inlineStr">
        <is>
          <t>Step 2</t>
        </is>
      </c>
    </row>
    <row r="211">
      <c r="A211" s="7" t="inlineStr">
        <is>
          <t>DN-51</t>
        </is>
      </c>
      <c r="B211" s="7" t="inlineStr">
        <is>
          <t>Settlement Deed / Revocation of Settlement</t>
        </is>
      </c>
      <c r="C211" s="7" t="inlineStr">
        <is>
          <t>2</t>
        </is>
      </c>
      <c r="D211" s="7" t="inlineStr">
        <is>
          <t>STL-02 / GEN-07</t>
        </is>
      </c>
      <c r="E211" s="7" t="inlineStr">
        <is>
          <t>Distribution among family members as per 48-A(ii)?</t>
        </is>
      </c>
      <c r="F211" s="7" t="inlineStr">
        <is>
          <t>Yes</t>
        </is>
      </c>
      <c r="G211" s="20">
        <f>&gt; 48-A(ii)</f>
        <v/>
      </c>
    </row>
    <row r="212">
      <c r="A212" s="7" t="inlineStr">
        <is>
          <t>DN-51</t>
        </is>
      </c>
      <c r="B212" s="7" t="inlineStr">
        <is>
          <t>Settlement Deed / Revocation of Settlement</t>
        </is>
      </c>
      <c r="C212" s="7" t="inlineStr">
        <is>
          <t>2</t>
        </is>
      </c>
      <c r="D212" s="7" t="inlineStr">
        <is>
          <t>STL-02 / GEN-07</t>
        </is>
      </c>
      <c r="E212" s="7" t="inlineStr">
        <is>
          <t>Distribution among family members as per 48-A(ii)?</t>
        </is>
      </c>
      <c r="F212" s="7" t="inlineStr">
        <is>
          <t>No</t>
        </is>
      </c>
      <c r="G212" s="20">
        <f>&gt; 48-A(i)</f>
        <v/>
      </c>
    </row>
    <row r="213">
      <c r="A213" s="9" t="inlineStr">
        <is>
          <t>DN-52</t>
        </is>
      </c>
      <c r="B213" s="9" t="inlineStr">
        <is>
          <t>Share Warrant to Bearer</t>
        </is>
      </c>
      <c r="C213" s="7" t="inlineStr">
        <is>
          <t>1</t>
        </is>
      </c>
      <c r="D213" s="7" t="inlineStr">
        <is>
          <t>-</t>
        </is>
      </c>
      <c r="E213" s="7" t="inlineStr">
        <is>
          <t>No further question - nature decides the article</t>
        </is>
      </c>
      <c r="F213" s="7" t="inlineStr">
        <is>
          <t>-</t>
        </is>
      </c>
      <c r="G213" s="20">
        <f>&gt; 49</f>
        <v/>
      </c>
    </row>
    <row r="214">
      <c r="A214" s="7" t="inlineStr">
        <is>
          <t>DN-53</t>
        </is>
      </c>
      <c r="B214" s="7" t="inlineStr">
        <is>
          <t>Shipping Order</t>
        </is>
      </c>
      <c r="C214" s="7" t="inlineStr">
        <is>
          <t>1</t>
        </is>
      </c>
      <c r="D214" s="7" t="inlineStr">
        <is>
          <t>-</t>
        </is>
      </c>
      <c r="E214" s="7" t="inlineStr">
        <is>
          <t>No further question - nature decides the article</t>
        </is>
      </c>
      <c r="F214" s="7" t="inlineStr">
        <is>
          <t>-</t>
        </is>
      </c>
      <c r="G214" s="20">
        <f>&gt; 50</f>
        <v/>
      </c>
    </row>
    <row r="215">
      <c r="A215" s="9" t="inlineStr">
        <is>
          <t>DN-54</t>
        </is>
      </c>
      <c r="B215" s="9" t="inlineStr">
        <is>
          <t>Surrender of Lease</t>
        </is>
      </c>
      <c r="C215" s="7" t="inlineStr">
        <is>
          <t>1</t>
        </is>
      </c>
      <c r="D215" s="7" t="inlineStr">
        <is>
          <t>LSE-13</t>
        </is>
      </c>
      <c r="E215" s="7" t="inlineStr">
        <is>
          <t>Duty chargeable on the lease?</t>
        </is>
      </c>
      <c r="F215" s="7" t="inlineStr">
        <is>
          <t>&lt;= Rs.22.50</t>
        </is>
      </c>
      <c r="G215" s="20">
        <f>&gt; 51(a)</f>
        <v/>
      </c>
    </row>
    <row r="216">
      <c r="A216" s="9" t="inlineStr">
        <is>
          <t>DN-54</t>
        </is>
      </c>
      <c r="B216" s="9" t="inlineStr">
        <is>
          <t>Surrender of Lease</t>
        </is>
      </c>
      <c r="C216" s="7" t="inlineStr">
        <is>
          <t>1</t>
        </is>
      </c>
      <c r="D216" s="7" t="inlineStr">
        <is>
          <t>LSE-13</t>
        </is>
      </c>
      <c r="E216" s="7" t="inlineStr">
        <is>
          <t>Duty chargeable on the lease?</t>
        </is>
      </c>
      <c r="F216" s="7" t="inlineStr">
        <is>
          <t>&gt; Rs.22.50</t>
        </is>
      </c>
      <c r="G216" s="20">
        <f>&gt; 51(b)</f>
        <v/>
      </c>
    </row>
    <row r="217">
      <c r="A217" s="7" t="inlineStr">
        <is>
          <t>DN-55</t>
        </is>
      </c>
      <c r="B217" s="7" t="inlineStr">
        <is>
          <t>Transfer (Debentures, Mortgage / Bond interest, Trust property)</t>
        </is>
      </c>
      <c r="C217" s="7" t="inlineStr">
        <is>
          <t>1</t>
        </is>
      </c>
      <c r="D217" s="7" t="inlineStr">
        <is>
          <t>MSC-11</t>
        </is>
      </c>
      <c r="E217" s="7" t="inlineStr">
        <is>
          <t>What is transferred?</t>
        </is>
      </c>
      <c r="F217" s="7" t="inlineStr">
        <is>
          <t>Debentures</t>
        </is>
      </c>
      <c r="G217" s="20">
        <f>&gt; 52(a)</f>
        <v/>
      </c>
    </row>
    <row r="218">
      <c r="A218" s="7" t="inlineStr">
        <is>
          <t>DN-55</t>
        </is>
      </c>
      <c r="B218" s="7" t="inlineStr">
        <is>
          <t>Transfer (Debentures, Mortgage / Bond interest, Trust property)</t>
        </is>
      </c>
      <c r="C218" s="7" t="inlineStr">
        <is>
          <t>1</t>
        </is>
      </c>
      <c r="D218" s="7" t="inlineStr">
        <is>
          <t>MSC-11</t>
        </is>
      </c>
      <c r="E218" s="7" t="inlineStr">
        <is>
          <t>What is transferred?</t>
        </is>
      </c>
      <c r="F218" s="7" t="inlineStr">
        <is>
          <t>Interest secured by bond / mortgage / policy</t>
        </is>
      </c>
      <c r="G218" s="7" t="inlineStr">
        <is>
          <t>Step 2</t>
        </is>
      </c>
    </row>
    <row r="219">
      <c r="A219" s="7" t="inlineStr">
        <is>
          <t>DN-55</t>
        </is>
      </c>
      <c r="B219" s="7" t="inlineStr">
        <is>
          <t>Transfer (Debentures, Mortgage / Bond interest, Trust property)</t>
        </is>
      </c>
      <c r="C219" s="7" t="inlineStr">
        <is>
          <t>2</t>
        </is>
      </c>
      <c r="D219" s="7" t="inlineStr">
        <is>
          <t>MSC-12</t>
        </is>
      </c>
      <c r="E219" s="7" t="inlineStr">
        <is>
          <t>Duty on underlying instrument?</t>
        </is>
      </c>
      <c r="F219" s="7" t="inlineStr">
        <is>
          <t>&lt;= Rs.22.50</t>
        </is>
      </c>
      <c r="G219" s="20">
        <f>&gt; 52(b)(i)</f>
        <v/>
      </c>
    </row>
    <row r="220">
      <c r="A220" s="7" t="inlineStr">
        <is>
          <t>DN-55</t>
        </is>
      </c>
      <c r="B220" s="7" t="inlineStr">
        <is>
          <t>Transfer (Debentures, Mortgage / Bond interest, Trust property)</t>
        </is>
      </c>
      <c r="C220" s="7" t="inlineStr">
        <is>
          <t>2</t>
        </is>
      </c>
      <c r="D220" s="7" t="inlineStr">
        <is>
          <t>MSC-12</t>
        </is>
      </c>
      <c r="E220" s="7" t="inlineStr">
        <is>
          <t>Duty on underlying instrument?</t>
        </is>
      </c>
      <c r="F220" s="7" t="inlineStr">
        <is>
          <t>&gt; Rs.22.50</t>
        </is>
      </c>
      <c r="G220" s="20">
        <f>&gt; 52(b)(ii)</f>
        <v/>
      </c>
    </row>
    <row r="221">
      <c r="A221" s="7" t="inlineStr">
        <is>
          <t>DN-55</t>
        </is>
      </c>
      <c r="B221" s="7" t="inlineStr">
        <is>
          <t>Transfer (Debentures, Mortgage / Bond interest, Trust property)</t>
        </is>
      </c>
      <c r="C221" s="7" t="inlineStr">
        <is>
          <t>1</t>
        </is>
      </c>
      <c r="D221" s="7" t="inlineStr">
        <is>
          <t>MSC-11</t>
        </is>
      </c>
      <c r="E221" s="7" t="inlineStr">
        <is>
          <t>What is transferred?</t>
        </is>
      </c>
      <c r="F221" s="7" t="inlineStr">
        <is>
          <t>Property under Administrator-General's Act</t>
        </is>
      </c>
      <c r="G221" s="20">
        <f>&gt; 52(c)</f>
        <v/>
      </c>
    </row>
    <row r="222">
      <c r="A222" s="7" t="inlineStr">
        <is>
          <t>DN-55</t>
        </is>
      </c>
      <c r="B222" s="7" t="inlineStr">
        <is>
          <t>Transfer (Debentures, Mortgage / Bond interest, Trust property)</t>
        </is>
      </c>
      <c r="C222" s="7" t="inlineStr">
        <is>
          <t>1</t>
        </is>
      </c>
      <c r="D222" s="7" t="inlineStr">
        <is>
          <t>MSC-11</t>
        </is>
      </c>
      <c r="E222" s="7" t="inlineStr">
        <is>
          <t>What is transferred?</t>
        </is>
      </c>
      <c r="F222" s="7" t="inlineStr">
        <is>
          <t>Trust property</t>
        </is>
      </c>
      <c r="G222" s="20">
        <f>&gt; 52(d)</f>
        <v/>
      </c>
    </row>
    <row r="223">
      <c r="A223" s="9" t="inlineStr">
        <is>
          <t>DN-56</t>
        </is>
      </c>
      <c r="B223" s="9" t="inlineStr">
        <is>
          <t>Transfer / Assignment of Lease</t>
        </is>
      </c>
      <c r="C223" s="7" t="inlineStr">
        <is>
          <t>1</t>
        </is>
      </c>
      <c r="D223" s="7" t="inlineStr">
        <is>
          <t>LSE-12</t>
        </is>
      </c>
      <c r="E223" s="7" t="inlineStr">
        <is>
          <t>Remaining period of lease?</t>
        </is>
      </c>
      <c r="F223" s="7" t="inlineStr">
        <is>
          <t>&lt;= 30 yrs</t>
        </is>
      </c>
      <c r="G223" s="20">
        <f>&gt; 53(a)</f>
        <v/>
      </c>
    </row>
    <row r="224">
      <c r="A224" s="9" t="inlineStr">
        <is>
          <t>DN-56</t>
        </is>
      </c>
      <c r="B224" s="9" t="inlineStr">
        <is>
          <t>Transfer / Assignment of Lease</t>
        </is>
      </c>
      <c r="C224" s="7" t="inlineStr">
        <is>
          <t>1</t>
        </is>
      </c>
      <c r="D224" s="7" t="inlineStr">
        <is>
          <t>LSE-12</t>
        </is>
      </c>
      <c r="E224" s="7" t="inlineStr">
        <is>
          <t>Remaining period of lease?</t>
        </is>
      </c>
      <c r="F224" s="7" t="inlineStr">
        <is>
          <t>&gt; 30 yrs</t>
        </is>
      </c>
      <c r="G224" s="20">
        <f>&gt; 53(b)</f>
        <v/>
      </c>
    </row>
    <row r="225">
      <c r="A225" s="7" t="inlineStr">
        <is>
          <t>DN-57</t>
        </is>
      </c>
      <c r="B225" s="7" t="inlineStr">
        <is>
          <t>Transfer of Licence</t>
        </is>
      </c>
      <c r="C225" s="7" t="inlineStr">
        <is>
          <t>1</t>
        </is>
      </c>
      <c r="D225" s="7" t="inlineStr">
        <is>
          <t>-</t>
        </is>
      </c>
      <c r="E225" s="7" t="inlineStr">
        <is>
          <t>No further question - nature decides the article</t>
        </is>
      </c>
      <c r="F225" s="7" t="inlineStr">
        <is>
          <t>-</t>
        </is>
      </c>
      <c r="G225" s="20">
        <f>&gt; 53-A</f>
        <v/>
      </c>
    </row>
    <row r="226">
      <c r="A226" s="9" t="inlineStr">
        <is>
          <t>DN-58</t>
        </is>
      </c>
      <c r="B226" s="9" t="inlineStr">
        <is>
          <t>Trust (Declaration of Trust)</t>
        </is>
      </c>
      <c r="C226" s="7" t="inlineStr">
        <is>
          <t>1</t>
        </is>
      </c>
      <c r="D226" s="7" t="inlineStr">
        <is>
          <t>TRS-01</t>
        </is>
      </c>
      <c r="E226" s="7" t="inlineStr">
        <is>
          <t>Purpose of trust?</t>
        </is>
      </c>
      <c r="F226" s="7" t="inlineStr">
        <is>
          <t>Exclusively public religious &amp; charitable</t>
        </is>
      </c>
      <c r="G226" s="20">
        <f>&gt; 54(i)</f>
        <v/>
      </c>
    </row>
    <row r="227">
      <c r="A227" s="9" t="inlineStr">
        <is>
          <t>DN-58</t>
        </is>
      </c>
      <c r="B227" s="9" t="inlineStr">
        <is>
          <t>Trust (Declaration of Trust)</t>
        </is>
      </c>
      <c r="C227" s="7" t="inlineStr">
        <is>
          <t>1</t>
        </is>
      </c>
      <c r="D227" s="7" t="inlineStr">
        <is>
          <t>TRS-01</t>
        </is>
      </c>
      <c r="E227" s="7" t="inlineStr">
        <is>
          <t>Purpose of trust?</t>
        </is>
      </c>
      <c r="F227" s="7" t="inlineStr">
        <is>
          <t>Management / custody, no transfer</t>
        </is>
      </c>
      <c r="G227" s="20">
        <f>&gt; 54(ii)</f>
        <v/>
      </c>
    </row>
    <row r="228">
      <c r="A228" s="9" t="inlineStr">
        <is>
          <t>DN-58</t>
        </is>
      </c>
      <c r="B228" s="9" t="inlineStr">
        <is>
          <t>Trust (Declaration of Trust)</t>
        </is>
      </c>
      <c r="C228" s="7" t="inlineStr">
        <is>
          <t>1</t>
        </is>
      </c>
      <c r="D228" s="7" t="inlineStr">
        <is>
          <t>TRS-01</t>
        </is>
      </c>
      <c r="E228" s="7" t="inlineStr">
        <is>
          <t>Purpose of trust?</t>
        </is>
      </c>
      <c r="F228" s="7" t="inlineStr">
        <is>
          <t>Involves transfer / disposition</t>
        </is>
      </c>
      <c r="G228" s="20">
        <f>&gt; 54(iii)</f>
        <v/>
      </c>
    </row>
    <row r="229">
      <c r="A229" s="7" t="inlineStr">
        <is>
          <t>DN-59</t>
        </is>
      </c>
      <c r="B229" s="7" t="inlineStr">
        <is>
          <t>Warrant for Goods</t>
        </is>
      </c>
      <c r="C229" s="7" t="inlineStr">
        <is>
          <t>1</t>
        </is>
      </c>
      <c r="D229" s="7" t="inlineStr">
        <is>
          <t>-</t>
        </is>
      </c>
      <c r="E229" s="7" t="inlineStr">
        <is>
          <t>No further question - nature decides the article</t>
        </is>
      </c>
      <c r="F229" s="7" t="inlineStr">
        <is>
          <t>-</t>
        </is>
      </c>
      <c r="G229" s="20">
        <f>&gt; 55</f>
        <v/>
      </c>
    </row>
  </sheetData>
  <autoFilter ref="A1:G2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20" customWidth="1" min="3" max="3"/>
    <col width="22" customWidth="1" min="4" max="4"/>
    <col width="22" customWidth="1" min="5" max="5"/>
    <col width="26" customWidth="1" min="6" max="6"/>
  </cols>
  <sheetData>
    <row r="1" ht="60" customHeight="1">
      <c r="A1" s="6" t="inlineStr">
        <is>
          <t>Relationship (claimant to executant)</t>
        </is>
      </c>
      <c r="B1" s="6" t="inlineStr">
        <is>
          <t>28(b)
Gift to family member</t>
        </is>
      </c>
      <c r="C1" s="6" t="inlineStr">
        <is>
          <t>48-A(ii)
Settlement among family</t>
        </is>
      </c>
      <c r="D1" s="6" t="inlineStr">
        <is>
          <t>45(b)
Release between family members</t>
        </is>
      </c>
      <c r="E1" s="6" t="inlineStr">
        <is>
          <t>30(1) 2nd proviso
Lease to family member</t>
        </is>
      </c>
      <c r="F1" s="6" t="inlineStr">
        <is>
          <t>41(eb) (exclusion)
POA to sell - attorney is family (then NOT 41(eb))</t>
        </is>
      </c>
    </row>
    <row r="2">
      <c r="A2" s="7" t="inlineStr">
        <is>
          <t>Father</t>
        </is>
      </c>
      <c r="B2" s="17" t="inlineStr">
        <is>
          <t>Y</t>
        </is>
      </c>
      <c r="C2" s="17" t="inlineStr">
        <is>
          <t>Y</t>
        </is>
      </c>
      <c r="D2" s="17" t="inlineStr">
        <is>
          <t>Y</t>
        </is>
      </c>
      <c r="E2" s="17" t="inlineStr">
        <is>
          <t>Y</t>
        </is>
      </c>
      <c r="F2" s="17" t="inlineStr">
        <is>
          <t>Y</t>
        </is>
      </c>
    </row>
    <row r="3">
      <c r="A3" s="7" t="inlineStr">
        <is>
          <t>Mother</t>
        </is>
      </c>
      <c r="B3" s="17" t="inlineStr">
        <is>
          <t>Y</t>
        </is>
      </c>
      <c r="C3" s="17" t="inlineStr">
        <is>
          <t>Y</t>
        </is>
      </c>
      <c r="D3" s="17" t="inlineStr">
        <is>
          <t>Y</t>
        </is>
      </c>
      <c r="E3" s="17" t="inlineStr">
        <is>
          <t>Y</t>
        </is>
      </c>
      <c r="F3" s="17" t="inlineStr">
        <is>
          <t>Y</t>
        </is>
      </c>
    </row>
    <row r="4">
      <c r="A4" s="7" t="inlineStr">
        <is>
          <t>Husband</t>
        </is>
      </c>
      <c r="B4" s="17" t="inlineStr">
        <is>
          <t>Y</t>
        </is>
      </c>
      <c r="C4" s="17" t="inlineStr">
        <is>
          <t>Y</t>
        </is>
      </c>
      <c r="D4" s="17" t="inlineStr">
        <is>
          <t>Y</t>
        </is>
      </c>
      <c r="E4" s="17" t="inlineStr">
        <is>
          <t>Y</t>
        </is>
      </c>
      <c r="F4" s="17" t="inlineStr">
        <is>
          <t>Y</t>
        </is>
      </c>
    </row>
    <row r="5">
      <c r="A5" s="7" t="inlineStr">
        <is>
          <t>Wife</t>
        </is>
      </c>
      <c r="B5" s="17" t="inlineStr">
        <is>
          <t>Y</t>
        </is>
      </c>
      <c r="C5" s="17" t="inlineStr">
        <is>
          <t>Y</t>
        </is>
      </c>
      <c r="D5" s="17" t="inlineStr">
        <is>
          <t>Y</t>
        </is>
      </c>
      <c r="E5" s="17" t="inlineStr">
        <is>
          <t>Y</t>
        </is>
      </c>
      <c r="F5" s="17" t="inlineStr">
        <is>
          <t>Y</t>
        </is>
      </c>
    </row>
    <row r="6">
      <c r="A6" s="7" t="inlineStr">
        <is>
          <t>Son</t>
        </is>
      </c>
      <c r="B6" s="17" t="inlineStr">
        <is>
          <t>Y</t>
        </is>
      </c>
      <c r="C6" s="17" t="inlineStr">
        <is>
          <t>Y</t>
        </is>
      </c>
      <c r="D6" s="17" t="inlineStr">
        <is>
          <t>Y</t>
        </is>
      </c>
      <c r="E6" s="17" t="inlineStr">
        <is>
          <t>Y</t>
        </is>
      </c>
      <c r="F6" s="17" t="inlineStr">
        <is>
          <t>Y</t>
        </is>
      </c>
    </row>
    <row r="7">
      <c r="A7" s="7" t="inlineStr">
        <is>
          <t>Daughter</t>
        </is>
      </c>
      <c r="B7" s="17" t="inlineStr">
        <is>
          <t>Y</t>
        </is>
      </c>
      <c r="C7" s="17" t="inlineStr">
        <is>
          <t>Y</t>
        </is>
      </c>
      <c r="D7" s="17" t="inlineStr">
        <is>
          <t>Y</t>
        </is>
      </c>
      <c r="E7" s="17" t="inlineStr">
        <is>
          <t>Y</t>
        </is>
      </c>
      <c r="F7" s="17" t="inlineStr">
        <is>
          <t>Y</t>
        </is>
      </c>
    </row>
    <row r="8">
      <c r="A8" s="7" t="inlineStr">
        <is>
          <t>Daughter-in-law</t>
        </is>
      </c>
      <c r="B8" s="17" t="inlineStr">
        <is>
          <t>Y</t>
        </is>
      </c>
      <c r="C8" s="17" t="inlineStr">
        <is>
          <t>Y</t>
        </is>
      </c>
      <c r="D8" s="15" t="inlineStr"/>
      <c r="E8" s="15" t="inlineStr"/>
      <c r="F8" s="15" t="inlineStr"/>
    </row>
    <row r="9">
      <c r="A9" s="7" t="inlineStr">
        <is>
          <t>Brother</t>
        </is>
      </c>
      <c r="B9" s="17" t="inlineStr">
        <is>
          <t>Y</t>
        </is>
      </c>
      <c r="C9" s="17" t="inlineStr">
        <is>
          <t>Y</t>
        </is>
      </c>
      <c r="D9" s="17" t="inlineStr">
        <is>
          <t>Y</t>
        </is>
      </c>
      <c r="E9" s="17" t="inlineStr">
        <is>
          <t>Y</t>
        </is>
      </c>
      <c r="F9" s="17" t="inlineStr">
        <is>
          <t>Y</t>
        </is>
      </c>
    </row>
    <row r="10">
      <c r="A10" s="7" t="inlineStr">
        <is>
          <t>Sister</t>
        </is>
      </c>
      <c r="B10" s="17" t="inlineStr">
        <is>
          <t>Y</t>
        </is>
      </c>
      <c r="C10" s="17" t="inlineStr">
        <is>
          <t>Y</t>
        </is>
      </c>
      <c r="D10" s="17" t="inlineStr">
        <is>
          <t>Y</t>
        </is>
      </c>
      <c r="E10" s="17" t="inlineStr">
        <is>
          <t>Y</t>
        </is>
      </c>
      <c r="F10" s="17" t="inlineStr">
        <is>
          <t>Y</t>
        </is>
      </c>
    </row>
    <row r="11">
      <c r="A11" s="7" t="inlineStr">
        <is>
          <t>Grandson</t>
        </is>
      </c>
      <c r="B11" s="17" t="inlineStr">
        <is>
          <t>Y</t>
        </is>
      </c>
      <c r="C11" s="17" t="inlineStr">
        <is>
          <t>Y</t>
        </is>
      </c>
      <c r="D11" s="15" t="inlineStr"/>
      <c r="E11" s="15" t="inlineStr"/>
      <c r="F11" s="15" t="inlineStr"/>
    </row>
    <row r="12">
      <c r="A12" s="7" t="inlineStr">
        <is>
          <t>Granddaughter</t>
        </is>
      </c>
      <c r="B12" s="17" t="inlineStr">
        <is>
          <t>Y</t>
        </is>
      </c>
      <c r="C12" s="17" t="inlineStr">
        <is>
          <t>Y</t>
        </is>
      </c>
      <c r="D12" s="15" t="inlineStr"/>
      <c r="E12" s="15" t="inlineStr"/>
      <c r="F12" s="15" t="inlineStr"/>
    </row>
    <row r="13">
      <c r="A13" s="7" t="inlineStr">
        <is>
          <t>Wife of predeceased brother</t>
        </is>
      </c>
      <c r="B13" s="15" t="inlineStr"/>
      <c r="C13" s="15" t="inlineStr"/>
      <c r="D13" s="17" t="inlineStr">
        <is>
          <t>Y</t>
        </is>
      </c>
      <c r="E13" s="15" t="inlineStr"/>
      <c r="F13" s="15" t="inlineStr"/>
    </row>
    <row r="14">
      <c r="A14" s="7" t="inlineStr">
        <is>
          <t>Children of predeceased brother</t>
        </is>
      </c>
      <c r="B14" s="15" t="inlineStr"/>
      <c r="C14" s="15" t="inlineStr"/>
      <c r="D14" s="17" t="inlineStr">
        <is>
          <t>Y</t>
        </is>
      </c>
      <c r="E14" s="15" t="inlineStr"/>
      <c r="F14" s="15" t="inlineStr"/>
    </row>
    <row r="15">
      <c r="A15" s="7" t="inlineStr">
        <is>
          <t>Husband of predeceased sister</t>
        </is>
      </c>
      <c r="B15" s="15" t="inlineStr"/>
      <c r="C15" s="15" t="inlineStr"/>
      <c r="D15" s="17" t="inlineStr">
        <is>
          <t>Y</t>
        </is>
      </c>
      <c r="E15" s="15" t="inlineStr"/>
      <c r="F15" s="15" t="inlineStr"/>
    </row>
    <row r="16">
      <c r="A16" s="7" t="inlineStr">
        <is>
          <t>Children of predeceased sister</t>
        </is>
      </c>
      <c r="B16" s="15" t="inlineStr"/>
      <c r="C16" s="15" t="inlineStr"/>
      <c r="D16" s="17" t="inlineStr">
        <is>
          <t>Y</t>
        </is>
      </c>
      <c r="E16" s="15" t="inlineStr"/>
      <c r="F16" s="15" t="inlineStr"/>
    </row>
    <row r="17">
      <c r="A17" s="7" t="inlineStr">
        <is>
          <t>Wife of predeceased son</t>
        </is>
      </c>
      <c r="B17" s="15" t="inlineStr"/>
      <c r="C17" s="15" t="inlineStr"/>
      <c r="D17" s="17" t="inlineStr">
        <is>
          <t>Y</t>
        </is>
      </c>
      <c r="E17" s="15" t="inlineStr"/>
      <c r="F17" s="15" t="inlineStr"/>
    </row>
    <row r="18">
      <c r="A18" s="7" t="inlineStr">
        <is>
          <t>Children of predeceased son</t>
        </is>
      </c>
      <c r="B18" s="15" t="inlineStr"/>
      <c r="C18" s="15" t="inlineStr"/>
      <c r="D18" s="17" t="inlineStr">
        <is>
          <t>Y</t>
        </is>
      </c>
      <c r="E18" s="15" t="inlineStr"/>
      <c r="F18" s="15" t="inlineStr"/>
    </row>
    <row r="19">
      <c r="A19" s="7" t="inlineStr">
        <is>
          <t>Children of predeceased daughter</t>
        </is>
      </c>
      <c r="B19" s="15" t="inlineStr"/>
      <c r="C19" s="15" t="inlineStr"/>
      <c r="D19" s="17" t="inlineStr">
        <is>
          <t>Y</t>
        </is>
      </c>
      <c r="E19" s="15" t="inlineStr"/>
      <c r="F19" s="15" t="inlineStr"/>
    </row>
    <row r="20">
      <c r="A20" s="7" t="inlineStr">
        <is>
          <t>Son-in-law</t>
        </is>
      </c>
      <c r="B20" s="15" t="inlineStr"/>
      <c r="C20" s="15" t="inlineStr"/>
      <c r="D20" s="15" t="inlineStr"/>
      <c r="E20" s="15" t="inlineStr"/>
      <c r="F20" s="15" t="inlineStr"/>
    </row>
    <row r="21">
      <c r="A21" s="7" t="inlineStr">
        <is>
          <t>Other relative</t>
        </is>
      </c>
      <c r="B21" s="15" t="inlineStr"/>
      <c r="C21" s="15" t="inlineStr"/>
      <c r="D21" s="15" t="inlineStr"/>
      <c r="E21" s="15" t="inlineStr"/>
      <c r="F21" s="15" t="inlineStr"/>
    </row>
    <row r="22">
      <c r="A22" s="7" t="inlineStr">
        <is>
          <t>Not related</t>
        </is>
      </c>
      <c r="B22" s="15" t="inlineStr"/>
      <c r="C22" s="15" t="inlineStr"/>
      <c r="D22" s="15" t="inlineStr"/>
      <c r="E22" s="15" t="inlineStr"/>
      <c r="F22" s="15" t="inlineStr"/>
    </row>
    <row r="24">
      <c r="A24" s="21" t="inlineStr">
        <is>
          <t>Y = relation is 'family' for that Article. Blank = not family (non-family rule applies).</t>
        </is>
      </c>
    </row>
    <row r="25">
      <c r="A25" s="22" t="inlineStr">
        <is>
          <t>28(b) Gift &amp; 48-A(ii) Settlement: father, mother, husband, wife, son, daughter, daughter-in-law, brothers, sisters and grand children.</t>
        </is>
      </c>
    </row>
    <row r="26">
      <c r="A26" s="22" t="inlineStr">
        <is>
          <t>45(b) Release: husband, wife, son, daughter, father, mother, brother, wife / children of predeceased brother, sister, husband / children of predeceased sister, wife of predeceased son, children of predeceased son or daughter (source text partly garbled - confirm exact list with Department).</t>
        </is>
      </c>
    </row>
    <row r="27">
      <c r="A27" s="22" t="inlineStr">
        <is>
          <t>30(1) 2nd proviso Lease: wife, husband, father, mother, son, daughter, brother, sister.</t>
        </is>
      </c>
    </row>
    <row r="28">
      <c r="A28" s="22" t="inlineStr">
        <is>
          <t>41(eb) POA to sell: if attorney is father, mother, wife, husband, son, daughter, brother or sister, Art 41(eb) does NOT apply (then 41(b) / (c) / (d) / (h) as per Decision_Flow), unless given for consideration (41(e)).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60" customWidth="1" min="2" max="2"/>
    <col width="18" customWidth="1" min="3" max="3"/>
    <col width="22" customWidth="1" min="4" max="4"/>
    <col width="20" customWidth="1" min="5" max="5"/>
    <col width="26" customWidth="1" min="6" max="6"/>
  </cols>
  <sheetData>
    <row r="1" ht="32" customHeight="1">
      <c r="A1" s="6" t="inlineStr">
        <is>
          <t>Limit code</t>
        </is>
      </c>
      <c r="B1" s="6" t="inlineStr">
        <is>
          <t>Local body limits</t>
        </is>
      </c>
      <c r="C1" s="6" t="inlineStr">
        <is>
          <t>28(b) Gift - family</t>
        </is>
      </c>
      <c r="D1" s="6" t="inlineStr">
        <is>
          <t>48-A(ii) Settlement - family</t>
        </is>
      </c>
      <c r="E1" s="6" t="inlineStr">
        <is>
          <t>45(b) Release - family</t>
        </is>
      </c>
      <c r="F1" s="6" t="inlineStr">
        <is>
          <t>30(1) Lease - family (2nd proviso)</t>
        </is>
      </c>
    </row>
    <row r="2">
      <c r="A2" s="7" t="inlineStr">
        <is>
          <t>LL-1</t>
        </is>
      </c>
      <c r="B2" s="7" t="inlineStr">
        <is>
          <t>BMRDA / BBMP (Bruhat Bengaluru Mahanagara Palike) / City Corporation</t>
        </is>
      </c>
      <c r="C2" s="23" t="n">
        <v>5000</v>
      </c>
      <c r="D2" s="23" t="n">
        <v>5000</v>
      </c>
      <c r="E2" s="23" t="n">
        <v>5000</v>
      </c>
      <c r="F2" s="23" t="n">
        <v>5000</v>
      </c>
    </row>
    <row r="3">
      <c r="A3" s="7" t="inlineStr">
        <is>
          <t>LL-2</t>
        </is>
      </c>
      <c r="B3" s="7" t="inlineStr">
        <is>
          <t>City Municipal Council / Town Municipal Council / Town Panchayat</t>
        </is>
      </c>
      <c r="C3" s="23" t="n">
        <v>3000</v>
      </c>
      <c r="D3" s="23" t="n">
        <v>3000</v>
      </c>
      <c r="E3" s="23" t="n">
        <v>3000</v>
      </c>
      <c r="F3" s="23" t="n">
        <v>3000</v>
      </c>
    </row>
    <row r="4">
      <c r="A4" s="7" t="inlineStr">
        <is>
          <t>LL-3</t>
        </is>
      </c>
      <c r="B4" s="7" t="inlineStr">
        <is>
          <t>Other areas (Grama Panchayat / rural, outside LL-1 &amp; LL-2)</t>
        </is>
      </c>
      <c r="C4" s="23" t="n">
        <v>1000</v>
      </c>
      <c r="D4" s="23" t="n">
        <v>1000</v>
      </c>
      <c r="E4" s="23" t="n">
        <v>1000</v>
      </c>
      <c r="F4" s="23" t="n">
        <v>1000</v>
      </c>
    </row>
    <row r="6">
      <c r="A6" s="24" t="inlineStr">
        <is>
          <t>If the properties are situated in a combination of limits, the duty payable is the maximum of the applicable amounts (proviso to 28(b), 30(1), 45(b), 48-A(ii)). PRP-03 must therefore be multi-select and derived from the property location master.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80" customWidth="1" min="4" max="4"/>
    <col width="60" customWidth="1" min="5" max="5"/>
  </cols>
  <sheetData>
    <row r="1" ht="32" customHeight="1">
      <c r="A1" s="6" t="inlineStr">
        <is>
          <t>Rule</t>
        </is>
      </c>
      <c r="B1" s="6" t="inlineStr">
        <is>
          <t>Section / Article</t>
        </is>
      </c>
      <c r="C1" s="6" t="inlineStr">
        <is>
          <t>Topic</t>
        </is>
      </c>
      <c r="D1" s="6" t="inlineStr">
        <is>
          <t>Legal provision (summary)</t>
        </is>
      </c>
      <c r="E1" s="6" t="inlineStr">
        <is>
          <t>System implementation</t>
        </is>
      </c>
    </row>
    <row r="2">
      <c r="A2" s="7" t="inlineStr">
        <is>
          <t>GR-01</t>
        </is>
      </c>
      <c r="B2" s="7" t="inlineStr">
        <is>
          <t>System scope</t>
        </is>
      </c>
      <c r="C2" s="7" t="inlineStr">
        <is>
          <t>One transaction per application</t>
        </is>
      </c>
      <c r="D2" s="7" t="inlineStr">
        <is>
          <t>Each application covers one transaction (one Nature of document). Documents relating to several distinct matters (Sec 5 - aggregate duty) are not handled by the system.</t>
        </is>
      </c>
      <c r="E2" s="7" t="inlineStr">
        <is>
          <t>Step 3 allows selection of a single Nature of document only.</t>
        </is>
      </c>
    </row>
    <row r="3">
      <c r="A3" s="7" t="inlineStr">
        <is>
          <t>GR-02</t>
        </is>
      </c>
      <c r="B3" s="7" t="inlineStr">
        <is>
          <t>Sec 6</t>
        </is>
      </c>
      <c r="C3" s="7" t="inlineStr">
        <is>
          <t>Instrument falling under two or more descriptions</t>
        </is>
      </c>
      <c r="D3" s="7" t="inlineStr">
        <is>
          <t>Chargeable only with the highest of such duties.</t>
        </is>
      </c>
      <c r="E3" s="7" t="inlineStr">
        <is>
          <t>Evaluate each matching rule; select maximum.</t>
        </is>
      </c>
    </row>
    <row r="4">
      <c r="A4" s="7" t="inlineStr">
        <is>
          <t>GR-03</t>
        </is>
      </c>
      <c r="B4" s="7" t="inlineStr">
        <is>
          <t>Sec 4</t>
        </is>
      </c>
      <c r="C4" s="7" t="inlineStr">
        <is>
          <t>Several instruments for one sale / mortgage / settlement</t>
        </is>
      </c>
      <c r="D4" s="7" t="inlineStr">
        <is>
          <t>Principal instrument pays Schedule duty (highest of the set); every other instrument Rs. 100.</t>
        </is>
      </c>
      <c r="E4" s="7" t="inlineStr">
        <is>
          <t>Capture GEN-11; if Secondary -&gt; Rs. 100; parties may designate principal.</t>
        </is>
      </c>
    </row>
    <row r="5">
      <c r="A5" s="7" t="inlineStr">
        <is>
          <t>GR-04</t>
        </is>
      </c>
      <c r="B5" s="7" t="inlineStr">
        <is>
          <t>Sec 6 proviso / Art 22</t>
        </is>
      </c>
      <c r="C5" s="7" t="inlineStr">
        <is>
          <t>Counterpart / duplicate</t>
        </is>
      </c>
      <c r="D5" s="7" t="inlineStr">
        <is>
          <t>Counterpart of an instrument on which proper duty is paid: Art 22.</t>
        </is>
      </c>
      <c r="E5" s="7" t="inlineStr">
        <is>
          <t>Validate original document reference (MSC-09).</t>
        </is>
      </c>
    </row>
    <row r="6">
      <c r="A6" s="7" t="inlineStr">
        <is>
          <t>GR-05</t>
        </is>
      </c>
      <c r="B6" s="7" t="inlineStr">
        <is>
          <t>Sec 45-A / 45-B</t>
        </is>
      </c>
      <c r="C6" s="7" t="inlineStr">
        <is>
          <t>Market value check</t>
        </is>
      </c>
      <c r="D6" s="7" t="inlineStr">
        <is>
          <t>For conveyance, gift 28(a), exchange, settlement 48-A(i), partnership 40-B(a) / 40-C(a), agreement 5(e)(i) / 5(f), lease 30(1)(vi), POA 41(e)/(ea)/(eb), release 45(a), decree conveyance, award 11(a), trust 54(iii), TDR 20(7): duty on higher of declared value and guidance MV published by CVC.</t>
        </is>
      </c>
      <c r="E6" s="7" t="inlineStr">
        <is>
          <t>GEN-09 auto-fetched from Guidance Value module; 'Sec 45-A MV check' column in Article_Rules = Yes.</t>
        </is>
      </c>
    </row>
    <row r="7">
      <c r="A7" s="7" t="inlineStr">
        <is>
          <t>GR-06</t>
        </is>
      </c>
      <c r="B7" s="7" t="inlineStr">
        <is>
          <t>Schedule</t>
        </is>
      </c>
      <c r="C7" s="7" t="inlineStr">
        <is>
          <t>'or part thereof' rounding</t>
        </is>
      </c>
      <c r="D7" s="7" t="inlineStr">
        <is>
          <t>Wherever duty is 'per Rs. X or part thereof', the base is rounded UP to the next multiple of X.</t>
        </is>
      </c>
      <c r="E7" s="7" t="inlineStr">
        <is>
          <t>Implement CEILING(base / X) x rate.</t>
        </is>
      </c>
    </row>
    <row r="8">
      <c r="A8" s="7" t="inlineStr">
        <is>
          <t>GR-07</t>
        </is>
      </c>
      <c r="B8" s="7" t="inlineStr">
        <is>
          <t>Schedule</t>
        </is>
      </c>
      <c r="C8" s="7" t="inlineStr">
        <is>
          <t>Minimum / maximum caps</t>
        </is>
      </c>
      <c r="D8" s="7" t="inlineStr">
        <is>
          <t>Apply the min / max stated for the clause after computing the ad valorem amount.</t>
        </is>
      </c>
      <c r="E8" s="7" t="inlineStr">
        <is>
          <t>Article_Rules columns Minimum / Maximum.</t>
        </is>
      </c>
    </row>
    <row r="9">
      <c r="A9" s="7" t="inlineStr">
        <is>
          <t>GR-08</t>
        </is>
      </c>
      <c r="B9" s="7" t="inlineStr">
        <is>
          <t>Art 5 Expl. II, 41 provisos, 20(1) provisos</t>
        </is>
      </c>
      <c r="C9" s="7" t="inlineStr">
        <is>
          <t>Adjustment of duty already paid</t>
        </is>
      </c>
      <c r="D9" s="7" t="inlineStr">
        <is>
          <t>Duty paid on agreement 5(e)/5(h), POA 41(e)/(eb), lease-cum-sale 5(d)/5(da) is adjustable against the later conveyance / mortgage between the same parties for the same property.</t>
        </is>
      </c>
      <c r="E9" s="7" t="inlineStr">
        <is>
          <t>Capture GEN-12 / POA-04 with document reference; system verifies the earlier e-stamp / registration.</t>
        </is>
      </c>
    </row>
    <row r="10">
      <c r="A10" s="7" t="inlineStr">
        <is>
          <t>GR-09</t>
        </is>
      </c>
      <c r="B10" s="7" t="inlineStr">
        <is>
          <t>Art 5(e), 5(g), 14</t>
        </is>
      </c>
      <c r="C10" s="7" t="inlineStr">
        <is>
          <t>Cancellation of agreement</t>
        </is>
      </c>
      <c r="D10" s="7" t="inlineStr">
        <is>
          <t>Deed cancelling a duly stamped 5(e)(i) / 5(g)(i) agreement between the same parties: max Rs. 500.</t>
        </is>
      </c>
      <c r="E10" s="7" t="inlineStr">
        <is>
          <t>AGR-15 flag.</t>
        </is>
      </c>
    </row>
    <row r="11">
      <c r="A11" s="7" t="inlineStr">
        <is>
          <t>GR-10</t>
        </is>
      </c>
      <c r="B11" s="7" t="inlineStr">
        <is>
          <t>Art 30, 32-A</t>
        </is>
      </c>
      <c r="C11" s="7" t="inlineStr">
        <is>
          <t>Average annual rent</t>
        </is>
      </c>
      <c r="D11" s="7" t="inlineStr">
        <is>
          <t>Average annual rent = total rent for the term / number of years (for term &lt; 1 year, rent for the term).</t>
        </is>
      </c>
      <c r="E11" s="7" t="inlineStr">
        <is>
          <t>Derived from LSE-03 rent schedule (captures escalation).</t>
        </is>
      </c>
    </row>
    <row r="12">
      <c r="A12" s="7" t="inlineStr">
        <is>
          <t>GR-11</t>
        </is>
      </c>
      <c r="B12" s="7" t="inlineStr">
        <is>
          <t>Art 30, 32-A, 5(f), 41(ea)</t>
        </is>
      </c>
      <c r="C12" s="7" t="inlineStr">
        <is>
          <t>Money advanced</t>
        </is>
      </c>
      <c r="D12" s="7" t="inlineStr">
        <is>
          <t>Includes security deposit, whether refundable or adjustable.</t>
        </is>
      </c>
      <c r="E12" s="7" t="inlineStr">
        <is>
          <t>LSE-05 / AGR-13 always captured.</t>
        </is>
      </c>
    </row>
    <row r="13">
      <c r="A13" s="7" t="inlineStr">
        <is>
          <t>GR-12</t>
        </is>
      </c>
      <c r="B13" s="7" t="inlineStr">
        <is>
          <t>Art 41 Explanation</t>
        </is>
      </c>
      <c r="C13" s="7" t="inlineStr">
        <is>
          <t>Counting attorneys</t>
        </is>
      </c>
      <c r="D13" s="7" t="inlineStr">
        <is>
          <t>Persons belonging to the same firm count as one person.</t>
        </is>
      </c>
      <c r="E13" s="7" t="inlineStr">
        <is>
          <t>POA-02 validation.</t>
        </is>
      </c>
    </row>
    <row r="14">
      <c r="A14" s="7" t="inlineStr">
        <is>
          <t>GR-13</t>
        </is>
      </c>
      <c r="B14" s="7" t="inlineStr">
        <is>
          <t>Sec 3</t>
        </is>
      </c>
      <c r="C14" s="7" t="inlineStr">
        <is>
          <t>Exemptions</t>
        </is>
      </c>
      <c r="D14" s="7" t="inlineStr">
        <is>
          <t>Instruments listed as exempt under an Article (and Govt-executed instruments exempt under Sec 3) carry no duty.</t>
        </is>
      </c>
      <c r="E14" s="7" t="inlineStr">
        <is>
          <t>Exemption inputs (Purpose = E) are checked before calculation.</t>
        </is>
      </c>
    </row>
  </sheetData>
  <autoFilter ref="A1:E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5" customWidth="1" min="2" max="2"/>
    <col width="70" customWidth="1" min="3" max="3"/>
    <col width="14" customWidth="1" min="4" max="4"/>
    <col width="40" customWidth="1" min="5" max="5"/>
    <col width="45" customWidth="1" min="6" max="6"/>
  </cols>
  <sheetData>
    <row r="1" ht="32" customHeight="1">
      <c r="A1" s="6" t="inlineStr">
        <is>
          <t>Example</t>
        </is>
      </c>
      <c r="B1" s="6" t="inlineStr">
        <is>
          <t>Scenario</t>
        </is>
      </c>
      <c r="C1" s="6" t="inlineStr">
        <is>
          <t>Key inputs captured</t>
        </is>
      </c>
      <c r="D1" s="6" t="inlineStr">
        <is>
          <t>Expected Article</t>
        </is>
      </c>
      <c r="E1" s="6" t="inlineStr">
        <is>
          <t>Instrument</t>
        </is>
      </c>
      <c r="F1" s="6" t="inlineStr">
        <is>
          <t>Expected duty</t>
        </is>
      </c>
    </row>
    <row r="2">
      <c r="A2" s="7" t="inlineStr">
        <is>
          <t>EX-01</t>
        </is>
      </c>
      <c r="B2" s="7" t="inlineStr">
        <is>
          <t>Sale deed of a site in BBMP, consideration Rs.40 lakh, guidance MV Rs.50 lakh</t>
        </is>
      </c>
      <c r="C2" s="7" t="inlineStr">
        <is>
          <t>GEN-02 = DN-21; Conveyance type = CT-01; GEN-08 = 40,00,000; GEN-09 = 50,00,000</t>
        </is>
      </c>
      <c r="D2" s="25" t="inlineStr">
        <is>
          <t>20(1)</t>
        </is>
      </c>
      <c r="E2" s="7" t="inlineStr">
        <is>
          <t>Conveyance (general sale / transfer)</t>
        </is>
      </c>
      <c r="F2" s="7" t="inlineStr">
        <is>
          <t>5% x 50,00,000 = Rs. 2,50,000 (higher of consideration and MV)</t>
        </is>
      </c>
    </row>
    <row r="3">
      <c r="A3" s="7" t="inlineStr">
        <is>
          <t>EX-02</t>
        </is>
      </c>
      <c r="B3" s="7" t="inlineStr">
        <is>
          <t>Agreement to sell a house, possession handed over at agreement, MV Rs.60 lakh</t>
        </is>
      </c>
      <c r="C3" s="7" t="inlineStr">
        <is>
          <t>DN-05; AGR-01 = AS-06; AGR-02 = Yes; GEN-09 = 60,00,000</t>
        </is>
      </c>
      <c r="D3" s="25" t="inlineStr">
        <is>
          <t>5(e)(i)</t>
        </is>
      </c>
      <c r="E3" s="7" t="inlineStr">
        <is>
          <t>Agreement to sell immovable property - with possession</t>
        </is>
      </c>
      <c r="F3" s="7" t="inlineStr">
        <is>
          <t>5% x 60,00,000 = Rs. 3,00,000; adjustable on later sale deed</t>
        </is>
      </c>
    </row>
    <row r="4">
      <c r="A4" s="7" t="inlineStr">
        <is>
          <t>EX-03</t>
        </is>
      </c>
      <c r="B4" s="7" t="inlineStr">
        <is>
          <t>Agreement to sell a site, no possession, consideration Rs.30 lakh</t>
        </is>
      </c>
      <c r="C4" s="7" t="inlineStr">
        <is>
          <t>DN-05; AGR-01 = AS-06; AGR-02 = No; AGR-03 = No; GEN-08 = 30,00,000</t>
        </is>
      </c>
      <c r="D4" s="25" t="inlineStr">
        <is>
          <t>5(e)(ii)</t>
        </is>
      </c>
      <c r="E4" s="7" t="inlineStr">
        <is>
          <t>Agreement to sell immovable property - without possession</t>
        </is>
      </c>
      <c r="F4" s="7" t="inlineStr">
        <is>
          <t>0.1% x 30,00,000 = Rs. 3,000 (within min 500 / max 20,000)</t>
        </is>
      </c>
    </row>
    <row r="5">
      <c r="A5" s="7" t="inlineStr">
        <is>
          <t>EX-04</t>
        </is>
      </c>
      <c r="B5" s="7" t="inlineStr">
        <is>
          <t>Gift of a flat by father to daughter, property in BBMP</t>
        </is>
      </c>
      <c r="C5" s="7" t="inlineStr">
        <is>
          <t>DN-29; GEN-07 = Daughter; PRP-03 = LL-1</t>
        </is>
      </c>
      <c r="D5" s="25" t="inlineStr">
        <is>
          <t>28(b)</t>
        </is>
      </c>
      <c r="E5" s="7" t="inlineStr">
        <is>
          <t>Gift - donee is a family member</t>
        </is>
      </c>
      <c r="F5" s="7" t="inlineStr">
        <is>
          <t>Rs. 5,000</t>
        </is>
      </c>
    </row>
    <row r="6">
      <c r="A6" s="7" t="inlineStr">
        <is>
          <t>EX-05</t>
        </is>
      </c>
      <c r="B6" s="7" t="inlineStr">
        <is>
          <t>Gift of land to a friend in Grama Panchayat area, MV Rs.12 lakh</t>
        </is>
      </c>
      <c r="C6" s="7" t="inlineStr">
        <is>
          <t>DN-29; GEN-07 = Not related; GEN-09 = 12,00,000</t>
        </is>
      </c>
      <c r="D6" s="25" t="inlineStr">
        <is>
          <t>28(a)</t>
        </is>
      </c>
      <c r="E6" s="7" t="inlineStr">
        <is>
          <t>Gift - donee not a family member</t>
        </is>
      </c>
      <c r="F6" s="7" t="inlineStr">
        <is>
          <t>5% x 12,00,000 = Rs. 60,000</t>
        </is>
      </c>
    </row>
    <row r="7">
      <c r="A7" s="7" t="inlineStr">
        <is>
          <t>EX-06</t>
        </is>
      </c>
      <c r="B7" s="7" t="inlineStr">
        <is>
          <t>Residential rent agreement 11 months, rent Rs.25,000 pm, deposit Rs.1,50,000</t>
        </is>
      </c>
      <c r="C7" s="7" t="inlineStr">
        <is>
          <t>DN-31; PRP-01 = Immovable; LSE-02 = 0.92; PRP-04 = Residential; GEN-07 = Not related; AAR = 2,75,000; LSE-05 = 1,50,000</t>
        </is>
      </c>
      <c r="D7" s="25" t="inlineStr">
        <is>
          <t>30(1)(i)</t>
        </is>
      </c>
      <c r="E7" s="7" t="inlineStr">
        <is>
          <t>Lease of immovable - up to 1 year, residential</t>
        </is>
      </c>
      <c r="F7" s="7" t="inlineStr">
        <is>
          <t>0.5% x 4,25,000 = Rs. 2,125 -&gt; capped at Rs. 500</t>
        </is>
      </c>
    </row>
    <row r="8">
      <c r="A8" s="7" t="inlineStr">
        <is>
          <t>EX-07</t>
        </is>
      </c>
      <c r="B8" s="7" t="inlineStr">
        <is>
          <t>Commercial lease 5 years, AAR Rs.6 lakh, deposit Rs.5 lakh</t>
        </is>
      </c>
      <c r="C8" s="7" t="inlineStr">
        <is>
          <t>DN-31; PRP-01 = Immovable; LSE-02 = 5; PRP-04 = Commercial; AAR = 6,00,000; LSE-05 = 5,00,000</t>
        </is>
      </c>
      <c r="D8" s="25" t="inlineStr">
        <is>
          <t>30(1)(iii)</t>
        </is>
      </c>
      <c r="E8" s="7" t="inlineStr">
        <is>
          <t>Lease of immovable - &gt;1 to 10 years</t>
        </is>
      </c>
      <c r="F8" s="7" t="inlineStr">
        <is>
          <t>1% x 11,00,000 = Rs. 11,000</t>
        </is>
      </c>
    </row>
    <row r="9">
      <c r="A9" s="7" t="inlineStr">
        <is>
          <t>EX-08</t>
        </is>
      </c>
      <c r="B9" s="7" t="inlineStr">
        <is>
          <t>GPA to brother to manage and sell property, no consideration, single attorney</t>
        </is>
      </c>
      <c r="C9" s="7" t="inlineStr">
        <is>
          <t>DN-44; POA-01 = PP-04 (general powers incl. sale); POA-03 = No; GEN-07 = Brother; POA-02 = 1</t>
        </is>
      </c>
      <c r="D9" s="25" t="inlineStr">
        <is>
          <t>41(c)</t>
        </is>
      </c>
      <c r="E9" s="7" t="inlineStr">
        <is>
          <t>General POA - up to 5 attorneys</t>
        </is>
      </c>
      <c r="F9" s="7" t="inlineStr">
        <is>
          <t>Rs. 100</t>
        </is>
      </c>
    </row>
    <row r="10">
      <c r="A10" s="7" t="inlineStr">
        <is>
          <t>EX-09</t>
        </is>
      </c>
      <c r="B10" s="7" t="inlineStr">
        <is>
          <t>POA to a non-relative to sell a site in Karnataka, MV Rs.25 lakh, no consideration</t>
        </is>
      </c>
      <c r="C10" s="7" t="inlineStr">
        <is>
          <t>DN-44; POA-01 = PP-04; POA-03 = No; GEN-07 = Not related; PRP-05 = Yes; GEN-09 = 25,00,000</t>
        </is>
      </c>
      <c r="D10" s="25" t="inlineStr">
        <is>
          <t>41(eb)</t>
        </is>
      </c>
      <c r="E10" s="7" t="inlineStr">
        <is>
          <t>POA to sell immovable in Karnataka - attorney not a family member</t>
        </is>
      </c>
      <c r="F10" s="7" t="inlineStr">
        <is>
          <t>5% x 25,00,000 = Rs. 1,25,000 (adjustable against later sale)</t>
        </is>
      </c>
    </row>
    <row r="11">
      <c r="A11" s="7" t="inlineStr">
        <is>
          <t>EX-10</t>
        </is>
      </c>
      <c r="B11" s="7" t="inlineStr">
        <is>
          <t>Simple mortgage (no possession) for bank loan of Rs.20 lakh</t>
        </is>
      </c>
      <c r="C11" s="7" t="inlineStr">
        <is>
          <t>DN-36; LON-03 = Mortgage of immovable; LON-04 = No; LON-01 = 20,00,000</t>
        </is>
      </c>
      <c r="D11" s="25" t="inlineStr">
        <is>
          <t>34(b)</t>
        </is>
      </c>
      <c r="E11" s="7" t="inlineStr">
        <is>
          <t>Mortgage - without possession (not hypothecation)</t>
        </is>
      </c>
      <c r="F11" s="7" t="inlineStr">
        <is>
          <t>0.5% x 20,00,000 = Rs. 10,000</t>
        </is>
      </c>
    </row>
    <row r="12">
      <c r="A12" s="7" t="inlineStr">
        <is>
          <t>EX-11</t>
        </is>
      </c>
      <c r="B12" s="7" t="inlineStr">
        <is>
          <t>Deposit of title deeds for housing loan Rs.40 lakh</t>
        </is>
      </c>
      <c r="C12" s="7" t="inlineStr">
        <is>
          <t>DN-06; LON-03 = Deposit of title deeds; LON-01 = 40,00,000</t>
        </is>
      </c>
      <c r="D12" s="25" t="inlineStr">
        <is>
          <t>6(1)(ii)</t>
        </is>
      </c>
      <c r="E12" s="7" t="inlineStr">
        <is>
          <t>Deposit of title deeds - loan above Rs.10 lakh</t>
        </is>
      </c>
      <c r="F12" s="7" t="inlineStr">
        <is>
          <t>0.2% x 40,00,000 = Rs. 8,000</t>
        </is>
      </c>
    </row>
    <row r="13">
      <c r="A13" s="7" t="inlineStr">
        <is>
          <t>EX-12</t>
        </is>
      </c>
      <c r="B13" s="7" t="inlineStr">
        <is>
          <t>Partition among 3 brothers of agricultural land and a house in CMC limits</t>
        </is>
      </c>
      <c r="C13" s="7" t="inlineStr">
        <is>
          <t>DN-41; PRT-02 = Agricultural land + Non-agri urban; PRT-01 = 3</t>
        </is>
      </c>
      <c r="D13" s="25" t="inlineStr">
        <is>
          <t>39(d)</t>
        </is>
      </c>
      <c r="E13" s="7" t="inlineStr">
        <is>
          <t>Partition - combination of categories</t>
        </is>
      </c>
      <c r="F13" s="7" t="inlineStr">
        <is>
          <t>Max(1,000, 250) x 3 = Rs. 3,000</t>
        </is>
      </c>
    </row>
    <row r="14">
      <c r="A14" s="7" t="inlineStr">
        <is>
          <t>EX-13</t>
        </is>
      </c>
      <c r="B14" s="7" t="inlineStr">
        <is>
          <t>Release by sister in favour of brother, property in Town Panchayat</t>
        </is>
      </c>
      <c r="C14" s="7" t="inlineStr">
        <is>
          <t>DN-48; REL-01 = Right in property; GEN-07 = Brother; PRP-03 = LL-2</t>
        </is>
      </c>
      <c r="D14" s="25" t="inlineStr">
        <is>
          <t>45(b)</t>
        </is>
      </c>
      <c r="E14" s="7" t="inlineStr">
        <is>
          <t>Release - between family members</t>
        </is>
      </c>
      <c r="F14" s="7" t="inlineStr">
        <is>
          <t>Rs. 3,000</t>
        </is>
      </c>
    </row>
    <row r="15">
      <c r="A15" s="7" t="inlineStr">
        <is>
          <t>EX-14</t>
        </is>
      </c>
      <c r="B15" s="7" t="inlineStr">
        <is>
          <t>Joint Development Agreement: land MV Rs.2 crore, owner's built-up share MV Rs.2.4 crore, refundable deposit Rs.50 lakh</t>
        </is>
      </c>
      <c r="C15" s="7" t="inlineStr">
        <is>
          <t>DN-05; AGR-01 = AS-07; AGR-11 = 2,00,00,000; AGR-12 = 2,40,00,000; AGR-13 = 50,00,000</t>
        </is>
      </c>
      <c r="D15" s="25" t="inlineStr">
        <is>
          <t>5(f)</t>
        </is>
      </c>
      <c r="E15" s="7" t="inlineStr">
        <is>
          <t>Joint Development / Construction Agreement</t>
        </is>
      </c>
      <c r="F15" s="7" t="inlineStr">
        <is>
          <t>2% x max(2.5 Cr, 2.9 Cr) = Rs. 5,80,000</t>
        </is>
      </c>
    </row>
    <row r="16">
      <c r="A16" s="7" t="inlineStr">
        <is>
          <t>EX-15</t>
        </is>
      </c>
      <c r="B16" s="7" t="inlineStr">
        <is>
          <t>Settlement deed by mother to son and daughter, property in BBMP and a village</t>
        </is>
      </c>
      <c r="C16" s="7" t="inlineStr">
        <is>
          <t>DN-51; STL-01 = Settlement; STL-02 = Yes; GEN-07 = Son / Daughter; PRP-03 = LL-1 + LL-3</t>
        </is>
      </c>
      <c r="D16" s="25" t="inlineStr">
        <is>
          <t>48-A(ii)</t>
        </is>
      </c>
      <c r="E16" s="7" t="inlineStr">
        <is>
          <t>Settlement - distribution among family</t>
        </is>
      </c>
      <c r="F16" s="7" t="inlineStr">
        <is>
          <t>Max(5,000, 1,000) = Rs. 5,000</t>
        </is>
      </c>
    </row>
    <row r="17">
      <c r="A17" s="7" t="inlineStr">
        <is>
          <t>EX-16</t>
        </is>
      </c>
      <c r="B17" s="7" t="inlineStr">
        <is>
          <t>Partnership deed constitution</t>
        </is>
      </c>
      <c r="C17" s="7" t="inlineStr">
        <is>
          <t>DN-42; PTN-01 = Constitution</t>
        </is>
      </c>
      <c r="D17" s="25" t="inlineStr">
        <is>
          <t>40-A</t>
        </is>
      </c>
      <c r="E17" s="7" t="inlineStr">
        <is>
          <t>Partnership - instrument of constitution</t>
        </is>
      </c>
      <c r="F17" s="7" t="inlineStr">
        <is>
          <t>Rs. 2,000</t>
        </is>
      </c>
    </row>
  </sheetData>
  <autoFilter ref="A1:F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2026-10-07T08:20:49Z</dcterms:created>
  <dcterms:modified xmlns:dcterms="http://purl.org/dc/terms/" xmlns:xsi="http://www.w3.org/2001/XMLSchema-instance" xsi:type="dcterms:W3CDTF">2026-10-07T08:20:49Z</dcterms:modified>
</cp:coreProperties>
</file>