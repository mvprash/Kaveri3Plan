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VP\Documents\Kaveri 3\ShortListing\20072026\"/>
    </mc:Choice>
  </mc:AlternateContent>
  <bookViews>
    <workbookView xWindow="0" yWindow="0" windowWidth="28770" windowHeight="12150" tabRatio="500"/>
  </bookViews>
  <sheets>
    <sheet name="Shortlisting Detail" sheetId="1" r:id="rId1"/>
    <sheet name="Summary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2" l="1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9" i="2" l="1"/>
  <c r="D9" i="2"/>
</calcChain>
</file>

<file path=xl/sharedStrings.xml><?xml version="1.0" encoding="utf-8"?>
<sst xmlns="http://schemas.openxmlformats.org/spreadsheetml/2006/main" count="131" uniqueCount="76">
  <si>
    <t>S.No</t>
  </si>
  <si>
    <t>Position</t>
  </si>
  <si>
    <t>Total Profiles Submitted</t>
  </si>
  <si>
    <t>Status</t>
  </si>
  <si>
    <t>Candidate Name</t>
  </si>
  <si>
    <t>Remarks</t>
  </si>
  <si>
    <t>AI/ML</t>
  </si>
  <si>
    <t>Shortlisted</t>
  </si>
  <si>
    <t>Kshitij Sahu</t>
  </si>
  <si>
    <t>Mukesh Manral</t>
  </si>
  <si>
    <t>Pratham Chandra</t>
  </si>
  <si>
    <t>Not Shortlisted</t>
  </si>
  <si>
    <t>AMITH P KASHYAP</t>
  </si>
  <si>
    <t>Lacks 6 years experience</t>
  </si>
  <si>
    <t>Data Migration Specialist</t>
  </si>
  <si>
    <t>Anil Kumar Reddy Satthi</t>
  </si>
  <si>
    <t>Pragya Sanjana</t>
  </si>
  <si>
    <t>Shweta Pachauri</t>
  </si>
  <si>
    <t>Prateek Gandhi</t>
  </si>
  <si>
    <t>Data-migration project exposure is limited</t>
  </si>
  <si>
    <t>Manjunath Jogi</t>
  </si>
  <si>
    <t>Unexplained 5-year gap (Dec 2017 to Sep 2022) but profile claims 6+ years experience</t>
  </si>
  <si>
    <t>Sivasankar Reddy</t>
  </si>
  <si>
    <t>No ETL tool experience shown</t>
  </si>
  <si>
    <t>Sreenivasarao Gottipati (DBA)</t>
  </si>
  <si>
    <t>Database Administrator (DBA)</t>
  </si>
  <si>
    <t>Mahesh Babu</t>
  </si>
  <si>
    <t>Hanumantha Reddy</t>
  </si>
  <si>
    <t>Siva</t>
  </si>
  <si>
    <t>Sanjeev Kumar Baranwal</t>
  </si>
  <si>
    <t>Full Stack Developer - Senior/Junior</t>
  </si>
  <si>
    <t>Ganeshbharathi S</t>
  </si>
  <si>
    <t>Mohamed Riyaz S</t>
  </si>
  <si>
    <t>Nikhil DR</t>
  </si>
  <si>
    <t>Sharavathi D J</t>
  </si>
  <si>
    <t>Kotholla Vamsi Krishna</t>
  </si>
  <si>
    <t>Tapas Kumar Jena</t>
  </si>
  <si>
    <t>Nikita Bawankar</t>
  </si>
  <si>
    <t>Sai Lakshmi</t>
  </si>
  <si>
    <t>Subhajit Tewary</t>
  </si>
  <si>
    <t>Triveni Deshmukh</t>
  </si>
  <si>
    <t>Harish Naik</t>
  </si>
  <si>
    <t>5 yrs of solid .NET/C# backend experience, but no Angular/React shown (mandatory .NET/C# requirement met, but missing frontend framework)</t>
  </si>
  <si>
    <t>Shaik Ajeej Basha</t>
  </si>
  <si>
    <t>5+ yrs .NET/C#/Azure experience, but no frontend framework (Angular/React) shown</t>
  </si>
  <si>
    <t>Shruti Modi</t>
  </si>
  <si>
    <t>Sujith Kumar</t>
  </si>
  <si>
    <t>L2 Support</t>
  </si>
  <si>
    <t>Priya</t>
  </si>
  <si>
    <t>Security Specialist</t>
  </si>
  <si>
    <t>Ashish Hans</t>
  </si>
  <si>
    <t>Anusha V</t>
  </si>
  <si>
    <t>Dilipkumar Ramaswamy</t>
  </si>
  <si>
    <t>Shaik Khadar</t>
  </si>
  <si>
    <t>Abhishek Boya</t>
  </si>
  <si>
    <t>Christopher Moses</t>
  </si>
  <si>
    <t>No hands-on security-operations experience (firewall, SSL, threat detection, incident response)</t>
  </si>
  <si>
    <t>Nikhil Nagbanshi</t>
  </si>
  <si>
    <t>Test Engineers</t>
  </si>
  <si>
    <t>Kavya M P</t>
  </si>
  <si>
    <t>Sai Nath</t>
  </si>
  <si>
    <t>Puneeth JH</t>
  </si>
  <si>
    <t>Bhavana K</t>
  </si>
  <si>
    <t>Not a valid testing experience</t>
  </si>
  <si>
    <t>Nagamani Bhaira Moger</t>
  </si>
  <si>
    <t>Not a valid testing experience; 2-year working gap; experience below the requirement</t>
  </si>
  <si>
    <t>Shortlisted Count</t>
  </si>
  <si>
    <t>Not Shortlisted Count</t>
  </si>
  <si>
    <t>Total</t>
  </si>
  <si>
    <t>java and python resource</t>
  </si>
  <si>
    <t>Yes</t>
  </si>
  <si>
    <t>Is Kyndryl
Employee</t>
  </si>
  <si>
    <t>Requirement</t>
  </si>
  <si>
    <t xml:space="preserve">Below 7+ years </t>
  </si>
  <si>
    <t>Pramoda CN</t>
  </si>
  <si>
    <t>experienced PostgresSQL DBA, B Com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</si>
</sst>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  <fill>
      <patternFill patternType="solid">
        <fgColor rgb="FFD9D9D9"/>
        <bgColor rgb="FFE2EFDA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abSelected="1" zoomScaleNormal="100" workbookViewId="0">
      <pane ySplit="1" topLeftCell="A2" activePane="bottomLeft" state="frozen"/>
      <selection pane="bottomLeft" activeCell="B12" sqref="B12:B17"/>
    </sheetView>
  </sheetViews>
  <sheetFormatPr defaultColWidth="8.7109375" defaultRowHeight="15" x14ac:dyDescent="0.25"/>
  <cols>
    <col min="1" max="1" width="6" customWidth="1"/>
    <col min="2" max="2" width="30" style="17" customWidth="1"/>
    <col min="3" max="3" width="14.28515625" bestFit="1" customWidth="1"/>
    <col min="4" max="4" width="12" customWidth="1"/>
    <col min="5" max="5" width="16" customWidth="1"/>
    <col min="6" max="6" width="26" customWidth="1"/>
    <col min="7" max="7" width="10.85546875" customWidth="1"/>
    <col min="8" max="8" width="60" customWidth="1"/>
  </cols>
  <sheetData>
    <row r="1" spans="1:8" ht="45" x14ac:dyDescent="0.25">
      <c r="A1" s="3" t="s">
        <v>0</v>
      </c>
      <c r="B1" s="16" t="s">
        <v>1</v>
      </c>
      <c r="C1" s="3" t="s">
        <v>72</v>
      </c>
      <c r="D1" s="3" t="s">
        <v>2</v>
      </c>
      <c r="E1" s="3" t="s">
        <v>3</v>
      </c>
      <c r="F1" s="3" t="s">
        <v>4</v>
      </c>
      <c r="G1" s="3" t="s">
        <v>71</v>
      </c>
      <c r="H1" s="3" t="s">
        <v>5</v>
      </c>
    </row>
    <row r="2" spans="1:8" ht="15" customHeight="1" x14ac:dyDescent="0.25">
      <c r="A2" s="4">
        <v>1</v>
      </c>
      <c r="B2" s="2" t="s">
        <v>6</v>
      </c>
      <c r="C2" s="13">
        <v>1</v>
      </c>
      <c r="D2" s="1">
        <v>4</v>
      </c>
      <c r="E2" s="4" t="s">
        <v>7</v>
      </c>
      <c r="F2" s="5" t="s">
        <v>8</v>
      </c>
      <c r="G2" s="5"/>
      <c r="H2" s="5"/>
    </row>
    <row r="3" spans="1:8" x14ac:dyDescent="0.25">
      <c r="A3" s="4">
        <v>2</v>
      </c>
      <c r="B3" s="2"/>
      <c r="C3" s="14"/>
      <c r="D3" s="2"/>
      <c r="E3" s="4" t="s">
        <v>7</v>
      </c>
      <c r="F3" s="5" t="s">
        <v>9</v>
      </c>
      <c r="G3" s="5"/>
      <c r="H3" s="5"/>
    </row>
    <row r="4" spans="1:8" x14ac:dyDescent="0.25">
      <c r="A4" s="4">
        <v>3</v>
      </c>
      <c r="B4" s="2"/>
      <c r="C4" s="14"/>
      <c r="D4" s="2"/>
      <c r="E4" s="4" t="s">
        <v>7</v>
      </c>
      <c r="F4" s="5" t="s">
        <v>10</v>
      </c>
      <c r="G4" s="5"/>
      <c r="H4" s="5"/>
    </row>
    <row r="5" spans="1:8" x14ac:dyDescent="0.25">
      <c r="A5" s="4">
        <v>4</v>
      </c>
      <c r="B5" s="2"/>
      <c r="C5" s="15"/>
      <c r="D5" s="2"/>
      <c r="E5" s="6" t="s">
        <v>11</v>
      </c>
      <c r="F5" s="7" t="s">
        <v>12</v>
      </c>
      <c r="G5" s="7"/>
      <c r="H5" s="7" t="s">
        <v>13</v>
      </c>
    </row>
    <row r="6" spans="1:8" ht="15" customHeight="1" x14ac:dyDescent="0.25">
      <c r="A6" s="4">
        <v>5</v>
      </c>
      <c r="B6" s="2" t="s">
        <v>14</v>
      </c>
      <c r="C6" s="13">
        <v>1</v>
      </c>
      <c r="D6" s="1">
        <v>6</v>
      </c>
      <c r="E6" s="4" t="s">
        <v>7</v>
      </c>
      <c r="F6" s="5" t="s">
        <v>15</v>
      </c>
      <c r="G6" s="5"/>
      <c r="H6" s="5"/>
    </row>
    <row r="7" spans="1:8" x14ac:dyDescent="0.25">
      <c r="A7" s="4">
        <v>6</v>
      </c>
      <c r="B7" s="2"/>
      <c r="C7" s="14"/>
      <c r="D7" s="2"/>
      <c r="E7" s="4" t="s">
        <v>7</v>
      </c>
      <c r="F7" s="5" t="s">
        <v>16</v>
      </c>
      <c r="G7" s="5"/>
      <c r="H7" s="5"/>
    </row>
    <row r="8" spans="1:8" x14ac:dyDescent="0.25">
      <c r="A8" s="4">
        <v>7</v>
      </c>
      <c r="B8" s="2"/>
      <c r="C8" s="14"/>
      <c r="D8" s="2"/>
      <c r="E8" s="4" t="s">
        <v>7</v>
      </c>
      <c r="F8" s="5" t="s">
        <v>17</v>
      </c>
      <c r="G8" s="5"/>
      <c r="H8" s="5"/>
    </row>
    <row r="9" spans="1:8" x14ac:dyDescent="0.25">
      <c r="A9" s="4">
        <v>8</v>
      </c>
      <c r="B9" s="2"/>
      <c r="C9" s="14"/>
      <c r="D9" s="2"/>
      <c r="E9" s="6" t="s">
        <v>11</v>
      </c>
      <c r="F9" s="7" t="s">
        <v>18</v>
      </c>
      <c r="G9" s="7"/>
      <c r="H9" s="7" t="s">
        <v>19</v>
      </c>
    </row>
    <row r="10" spans="1:8" ht="25.5" x14ac:dyDescent="0.25">
      <c r="A10" s="4">
        <v>9</v>
      </c>
      <c r="B10" s="2"/>
      <c r="C10" s="14"/>
      <c r="D10" s="2"/>
      <c r="E10" s="6" t="s">
        <v>11</v>
      </c>
      <c r="F10" s="7" t="s">
        <v>20</v>
      </c>
      <c r="G10" s="7"/>
      <c r="H10" s="7" t="s">
        <v>21</v>
      </c>
    </row>
    <row r="11" spans="1:8" x14ac:dyDescent="0.25">
      <c r="A11" s="4">
        <v>10</v>
      </c>
      <c r="B11" s="2"/>
      <c r="C11" s="15"/>
      <c r="D11" s="2"/>
      <c r="E11" s="6" t="s">
        <v>11</v>
      </c>
      <c r="F11" s="7" t="s">
        <v>22</v>
      </c>
      <c r="G11" s="7"/>
      <c r="H11" s="7" t="s">
        <v>23</v>
      </c>
    </row>
    <row r="12" spans="1:8" ht="15" customHeight="1" x14ac:dyDescent="0.25">
      <c r="A12" s="4">
        <v>11</v>
      </c>
      <c r="B12" s="13" t="s">
        <v>25</v>
      </c>
      <c r="C12" s="10">
        <v>1</v>
      </c>
      <c r="D12" s="10">
        <v>6</v>
      </c>
      <c r="E12" s="4" t="s">
        <v>7</v>
      </c>
      <c r="F12" s="5" t="s">
        <v>26</v>
      </c>
      <c r="G12" s="5"/>
      <c r="H12" s="5"/>
    </row>
    <row r="13" spans="1:8" x14ac:dyDescent="0.25">
      <c r="A13" s="4">
        <v>12</v>
      </c>
      <c r="B13" s="14"/>
      <c r="C13" s="11"/>
      <c r="D13" s="11"/>
      <c r="E13" s="4" t="s">
        <v>7</v>
      </c>
      <c r="F13" s="5" t="s">
        <v>27</v>
      </c>
      <c r="G13" s="5"/>
      <c r="H13" s="5"/>
    </row>
    <row r="14" spans="1:8" x14ac:dyDescent="0.25">
      <c r="A14" s="4">
        <v>13</v>
      </c>
      <c r="B14" s="14"/>
      <c r="C14" s="11"/>
      <c r="D14" s="11"/>
      <c r="E14" s="4" t="s">
        <v>7</v>
      </c>
      <c r="F14" s="5" t="s">
        <v>28</v>
      </c>
      <c r="G14" s="5"/>
      <c r="H14" s="5"/>
    </row>
    <row r="15" spans="1:8" x14ac:dyDescent="0.25">
      <c r="A15" s="4">
        <v>14</v>
      </c>
      <c r="B15" s="14"/>
      <c r="C15" s="11"/>
      <c r="D15" s="11"/>
      <c r="E15" s="4" t="s">
        <v>7</v>
      </c>
      <c r="F15" s="5" t="s">
        <v>29</v>
      </c>
      <c r="G15" s="5" t="s">
        <v>70</v>
      </c>
      <c r="H15" s="5"/>
    </row>
    <row r="16" spans="1:8" ht="25.5" x14ac:dyDescent="0.25">
      <c r="A16" s="4">
        <v>15</v>
      </c>
      <c r="B16" s="14"/>
      <c r="C16" s="11"/>
      <c r="D16" s="11"/>
      <c r="E16" s="4" t="s">
        <v>7</v>
      </c>
      <c r="F16" s="4" t="s">
        <v>24</v>
      </c>
      <c r="G16" s="4"/>
      <c r="H16" s="4"/>
    </row>
    <row r="17" spans="1:8" x14ac:dyDescent="0.25">
      <c r="A17" s="4"/>
      <c r="B17" s="15"/>
      <c r="C17" s="12"/>
      <c r="D17" s="12"/>
      <c r="E17" s="4" t="s">
        <v>7</v>
      </c>
      <c r="F17" s="5" t="s">
        <v>74</v>
      </c>
      <c r="G17" s="4"/>
      <c r="H17" s="4" t="s">
        <v>75</v>
      </c>
    </row>
    <row r="18" spans="1:8" ht="15" customHeight="1" x14ac:dyDescent="0.25">
      <c r="A18" s="4">
        <v>16</v>
      </c>
      <c r="B18" s="2" t="s">
        <v>30</v>
      </c>
      <c r="C18" s="13">
        <v>2</v>
      </c>
      <c r="D18" s="1">
        <v>14</v>
      </c>
      <c r="E18" s="4" t="s">
        <v>7</v>
      </c>
      <c r="F18" s="5" t="s">
        <v>31</v>
      </c>
      <c r="G18" s="5"/>
      <c r="H18" s="5"/>
    </row>
    <row r="19" spans="1:8" x14ac:dyDescent="0.25">
      <c r="A19" s="4">
        <v>17</v>
      </c>
      <c r="B19" s="2"/>
      <c r="C19" s="14"/>
      <c r="D19" s="2"/>
      <c r="E19" s="4" t="s">
        <v>7</v>
      </c>
      <c r="F19" s="5" t="s">
        <v>32</v>
      </c>
      <c r="G19" s="5"/>
      <c r="H19" s="5"/>
    </row>
    <row r="20" spans="1:8" x14ac:dyDescent="0.25">
      <c r="A20" s="4">
        <v>18</v>
      </c>
      <c r="B20" s="2"/>
      <c r="C20" s="14"/>
      <c r="D20" s="2"/>
      <c r="E20" s="4" t="s">
        <v>7</v>
      </c>
      <c r="F20" s="5" t="s">
        <v>33</v>
      </c>
      <c r="G20" s="5"/>
      <c r="H20" s="5"/>
    </row>
    <row r="21" spans="1:8" x14ac:dyDescent="0.25">
      <c r="A21" s="4">
        <v>19</v>
      </c>
      <c r="B21" s="2"/>
      <c r="C21" s="14"/>
      <c r="D21" s="2"/>
      <c r="E21" s="4" t="s">
        <v>7</v>
      </c>
      <c r="F21" s="5" t="s">
        <v>34</v>
      </c>
      <c r="G21" s="5"/>
      <c r="H21" s="5"/>
    </row>
    <row r="22" spans="1:8" x14ac:dyDescent="0.25">
      <c r="A22" s="4">
        <v>20</v>
      </c>
      <c r="B22" s="2"/>
      <c r="C22" s="14"/>
      <c r="D22" s="2"/>
      <c r="E22" s="4" t="s">
        <v>7</v>
      </c>
      <c r="F22" s="5" t="s">
        <v>35</v>
      </c>
      <c r="G22" s="5"/>
      <c r="H22" s="5"/>
    </row>
    <row r="23" spans="1:8" x14ac:dyDescent="0.25">
      <c r="A23" s="4">
        <v>21</v>
      </c>
      <c r="B23" s="2"/>
      <c r="C23" s="14"/>
      <c r="D23" s="2"/>
      <c r="E23" s="4" t="s">
        <v>7</v>
      </c>
      <c r="F23" s="5" t="s">
        <v>36</v>
      </c>
      <c r="G23" s="5"/>
      <c r="H23" s="5"/>
    </row>
    <row r="24" spans="1:8" x14ac:dyDescent="0.25">
      <c r="A24" s="4">
        <v>22</v>
      </c>
      <c r="B24" s="2"/>
      <c r="C24" s="14"/>
      <c r="D24" s="2"/>
      <c r="E24" s="4" t="s">
        <v>7</v>
      </c>
      <c r="F24" s="5" t="s">
        <v>37</v>
      </c>
      <c r="G24" s="5"/>
      <c r="H24" s="5"/>
    </row>
    <row r="25" spans="1:8" x14ac:dyDescent="0.25">
      <c r="A25" s="4">
        <v>23</v>
      </c>
      <c r="B25" s="2"/>
      <c r="C25" s="14"/>
      <c r="D25" s="2"/>
      <c r="E25" s="4" t="s">
        <v>7</v>
      </c>
      <c r="F25" s="5" t="s">
        <v>38</v>
      </c>
      <c r="G25" s="5"/>
      <c r="H25" s="5"/>
    </row>
    <row r="26" spans="1:8" x14ac:dyDescent="0.25">
      <c r="A26" s="4">
        <v>24</v>
      </c>
      <c r="B26" s="2"/>
      <c r="C26" s="14"/>
      <c r="D26" s="2"/>
      <c r="E26" s="4" t="s">
        <v>7</v>
      </c>
      <c r="F26" s="5" t="s">
        <v>39</v>
      </c>
      <c r="G26" s="5"/>
      <c r="H26" s="5"/>
    </row>
    <row r="27" spans="1:8" x14ac:dyDescent="0.25">
      <c r="A27" s="4">
        <v>25</v>
      </c>
      <c r="B27" s="2"/>
      <c r="C27" s="14"/>
      <c r="D27" s="2"/>
      <c r="E27" s="4" t="s">
        <v>7</v>
      </c>
      <c r="F27" s="5" t="s">
        <v>40</v>
      </c>
      <c r="G27" s="5"/>
      <c r="H27" s="5"/>
    </row>
    <row r="28" spans="1:8" ht="38.25" x14ac:dyDescent="0.25">
      <c r="A28" s="4">
        <v>26</v>
      </c>
      <c r="B28" s="2"/>
      <c r="C28" s="14"/>
      <c r="D28" s="2"/>
      <c r="E28" s="6" t="s">
        <v>11</v>
      </c>
      <c r="F28" s="7" t="s">
        <v>41</v>
      </c>
      <c r="G28" s="7"/>
      <c r="H28" s="7" t="s">
        <v>42</v>
      </c>
    </row>
    <row r="29" spans="1:8" ht="25.5" x14ac:dyDescent="0.25">
      <c r="A29" s="4">
        <v>27</v>
      </c>
      <c r="B29" s="2"/>
      <c r="C29" s="14"/>
      <c r="D29" s="2"/>
      <c r="E29" s="6" t="s">
        <v>11</v>
      </c>
      <c r="F29" s="7" t="s">
        <v>43</v>
      </c>
      <c r="G29" s="7"/>
      <c r="H29" s="7" t="s">
        <v>44</v>
      </c>
    </row>
    <row r="30" spans="1:8" x14ac:dyDescent="0.25">
      <c r="A30" s="4">
        <v>28</v>
      </c>
      <c r="B30" s="2"/>
      <c r="C30" s="14"/>
      <c r="D30" s="2"/>
      <c r="E30" s="4" t="s">
        <v>7</v>
      </c>
      <c r="F30" s="5" t="s">
        <v>45</v>
      </c>
      <c r="G30" s="5" t="s">
        <v>70</v>
      </c>
      <c r="H30" s="4" t="s">
        <v>69</v>
      </c>
    </row>
    <row r="31" spans="1:8" x14ac:dyDescent="0.25">
      <c r="A31" s="4">
        <v>29</v>
      </c>
      <c r="B31" s="2"/>
      <c r="C31" s="15"/>
      <c r="D31" s="2"/>
      <c r="E31" s="4" t="s">
        <v>7</v>
      </c>
      <c r="F31" s="5" t="s">
        <v>46</v>
      </c>
      <c r="G31" s="5" t="s">
        <v>70</v>
      </c>
      <c r="H31" s="4" t="s">
        <v>69</v>
      </c>
    </row>
    <row r="32" spans="1:8" x14ac:dyDescent="0.25">
      <c r="A32" s="4">
        <v>30</v>
      </c>
      <c r="B32" s="5" t="s">
        <v>47</v>
      </c>
      <c r="C32" s="5">
        <v>3</v>
      </c>
      <c r="D32" s="4">
        <v>1</v>
      </c>
      <c r="E32" s="4" t="s">
        <v>7</v>
      </c>
      <c r="F32" s="5" t="s">
        <v>48</v>
      </c>
      <c r="G32" s="5"/>
      <c r="H32" s="5"/>
    </row>
    <row r="33" spans="1:8" ht="15" customHeight="1" x14ac:dyDescent="0.25">
      <c r="A33" s="4">
        <v>31</v>
      </c>
      <c r="B33" s="2" t="s">
        <v>49</v>
      </c>
      <c r="C33" s="13">
        <v>1</v>
      </c>
      <c r="D33" s="1">
        <v>7</v>
      </c>
      <c r="E33" s="4" t="s">
        <v>7</v>
      </c>
      <c r="F33" s="5" t="s">
        <v>50</v>
      </c>
      <c r="G33" s="5"/>
      <c r="H33" s="5"/>
    </row>
    <row r="34" spans="1:8" x14ac:dyDescent="0.25">
      <c r="A34" s="4">
        <v>32</v>
      </c>
      <c r="B34" s="2"/>
      <c r="C34" s="14"/>
      <c r="D34" s="2"/>
      <c r="E34" s="4" t="s">
        <v>7</v>
      </c>
      <c r="F34" s="5" t="s">
        <v>51</v>
      </c>
      <c r="G34" s="5"/>
      <c r="H34" s="5"/>
    </row>
    <row r="35" spans="1:8" x14ac:dyDescent="0.25">
      <c r="A35" s="4">
        <v>33</v>
      </c>
      <c r="B35" s="2"/>
      <c r="C35" s="14"/>
      <c r="D35" s="2"/>
      <c r="E35" s="4" t="s">
        <v>7</v>
      </c>
      <c r="F35" s="5" t="s">
        <v>52</v>
      </c>
      <c r="G35" s="5"/>
      <c r="H35" s="5"/>
    </row>
    <row r="36" spans="1:8" x14ac:dyDescent="0.25">
      <c r="A36" s="4">
        <v>34</v>
      </c>
      <c r="B36" s="2"/>
      <c r="C36" s="14"/>
      <c r="D36" s="2"/>
      <c r="E36" s="4" t="s">
        <v>7</v>
      </c>
      <c r="F36" s="5" t="s">
        <v>53</v>
      </c>
      <c r="G36" s="5"/>
      <c r="H36" s="5"/>
    </row>
    <row r="37" spans="1:8" x14ac:dyDescent="0.25">
      <c r="A37" s="4">
        <v>35</v>
      </c>
      <c r="B37" s="2"/>
      <c r="C37" s="14"/>
      <c r="D37" s="2"/>
      <c r="E37" s="6" t="s">
        <v>11</v>
      </c>
      <c r="F37" s="7" t="s">
        <v>54</v>
      </c>
      <c r="G37" s="7"/>
      <c r="H37" s="7" t="s">
        <v>73</v>
      </c>
    </row>
    <row r="38" spans="1:8" ht="25.5" x14ac:dyDescent="0.25">
      <c r="A38" s="4">
        <v>36</v>
      </c>
      <c r="B38" s="2"/>
      <c r="C38" s="14"/>
      <c r="D38" s="2"/>
      <c r="E38" s="6" t="s">
        <v>11</v>
      </c>
      <c r="F38" s="7" t="s">
        <v>55</v>
      </c>
      <c r="G38" s="7"/>
      <c r="H38" s="7" t="s">
        <v>56</v>
      </c>
    </row>
    <row r="39" spans="1:8" x14ac:dyDescent="0.25">
      <c r="A39" s="4">
        <v>37</v>
      </c>
      <c r="B39" s="2"/>
      <c r="C39" s="15"/>
      <c r="D39" s="2"/>
      <c r="E39" s="6" t="s">
        <v>11</v>
      </c>
      <c r="F39" s="7" t="s">
        <v>57</v>
      </c>
      <c r="G39" s="7"/>
      <c r="H39" s="7" t="s">
        <v>73</v>
      </c>
    </row>
    <row r="40" spans="1:8" ht="15" customHeight="1" x14ac:dyDescent="0.25">
      <c r="A40" s="4">
        <v>38</v>
      </c>
      <c r="B40" s="2" t="s">
        <v>58</v>
      </c>
      <c r="C40" s="13">
        <v>1</v>
      </c>
      <c r="D40" s="1">
        <v>5</v>
      </c>
      <c r="E40" s="4" t="s">
        <v>7</v>
      </c>
      <c r="F40" s="5" t="s">
        <v>59</v>
      </c>
      <c r="G40" s="5"/>
      <c r="H40" s="5"/>
    </row>
    <row r="41" spans="1:8" x14ac:dyDescent="0.25">
      <c r="A41" s="4">
        <v>39</v>
      </c>
      <c r="B41" s="2"/>
      <c r="C41" s="14"/>
      <c r="D41" s="2"/>
      <c r="E41" s="4" t="s">
        <v>7</v>
      </c>
      <c r="F41" s="5" t="s">
        <v>60</v>
      </c>
      <c r="G41" s="5"/>
      <c r="H41" s="5"/>
    </row>
    <row r="42" spans="1:8" x14ac:dyDescent="0.25">
      <c r="A42" s="4">
        <v>40</v>
      </c>
      <c r="B42" s="2"/>
      <c r="C42" s="14"/>
      <c r="D42" s="2"/>
      <c r="E42" s="4" t="s">
        <v>7</v>
      </c>
      <c r="F42" s="5" t="s">
        <v>61</v>
      </c>
      <c r="G42" s="5"/>
      <c r="H42" s="5"/>
    </row>
    <row r="43" spans="1:8" x14ac:dyDescent="0.25">
      <c r="A43" s="4">
        <v>41</v>
      </c>
      <c r="B43" s="2"/>
      <c r="C43" s="14"/>
      <c r="D43" s="2"/>
      <c r="E43" s="6" t="s">
        <v>11</v>
      </c>
      <c r="F43" s="7" t="s">
        <v>62</v>
      </c>
      <c r="G43" s="7"/>
      <c r="H43" s="7" t="s">
        <v>63</v>
      </c>
    </row>
    <row r="44" spans="1:8" ht="25.5" x14ac:dyDescent="0.25">
      <c r="A44" s="4">
        <v>42</v>
      </c>
      <c r="B44" s="2"/>
      <c r="C44" s="15"/>
      <c r="D44" s="2"/>
      <c r="E44" s="6" t="s">
        <v>11</v>
      </c>
      <c r="F44" s="7" t="s">
        <v>64</v>
      </c>
      <c r="G44" s="7"/>
      <c r="H44" s="7" t="s">
        <v>65</v>
      </c>
    </row>
  </sheetData>
  <mergeCells count="18">
    <mergeCell ref="B18:B31"/>
    <mergeCell ref="D18:D31"/>
    <mergeCell ref="B33:B39"/>
    <mergeCell ref="D33:D39"/>
    <mergeCell ref="B40:B44"/>
    <mergeCell ref="D40:D44"/>
    <mergeCell ref="C18:C31"/>
    <mergeCell ref="C33:C39"/>
    <mergeCell ref="C40:C44"/>
    <mergeCell ref="B2:B5"/>
    <mergeCell ref="D2:D5"/>
    <mergeCell ref="B6:B11"/>
    <mergeCell ref="D6:D11"/>
    <mergeCell ref="C2:C5"/>
    <mergeCell ref="C6:C11"/>
    <mergeCell ref="B12:B17"/>
    <mergeCell ref="C12:C17"/>
    <mergeCell ref="D12:D17"/>
  </mergeCell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4" customWidth="1"/>
    <col min="3" max="3" width="22" customWidth="1"/>
    <col min="4" max="4" width="18" customWidth="1"/>
    <col min="5" max="5" width="20" customWidth="1"/>
  </cols>
  <sheetData>
    <row r="1" spans="1:5" ht="30" x14ac:dyDescent="0.25">
      <c r="A1" s="3" t="s">
        <v>0</v>
      </c>
      <c r="B1" s="3" t="s">
        <v>1</v>
      </c>
      <c r="C1" s="3" t="s">
        <v>2</v>
      </c>
      <c r="D1" s="3" t="s">
        <v>66</v>
      </c>
      <c r="E1" s="3" t="s">
        <v>67</v>
      </c>
    </row>
    <row r="2" spans="1:5" x14ac:dyDescent="0.25">
      <c r="A2" s="8">
        <v>1</v>
      </c>
      <c r="B2" s="8" t="s">
        <v>6</v>
      </c>
      <c r="C2" s="8">
        <v>4</v>
      </c>
      <c r="D2" s="8">
        <f>COUNTIFS('Shortlisting Detail'!$B$2:$B$44,B2,'Shortlisting Detail'!$E$2:$E$44,"Shortlisted")</f>
        <v>1</v>
      </c>
      <c r="E2" s="8">
        <f>COUNTIFS('Shortlisting Detail'!$B$2:$B$44,B2,'Shortlisting Detail'!$E$2:$E$44,"Not Shortlisted")</f>
        <v>0</v>
      </c>
    </row>
    <row r="3" spans="1:5" x14ac:dyDescent="0.25">
      <c r="A3" s="8">
        <v>2</v>
      </c>
      <c r="B3" s="8" t="s">
        <v>14</v>
      </c>
      <c r="C3" s="8">
        <v>7</v>
      </c>
      <c r="D3" s="8">
        <f>COUNTIFS('Shortlisting Detail'!$B$2:$B$44,B3,'Shortlisting Detail'!$E$2:$E$44,"Shortlisted")</f>
        <v>1</v>
      </c>
      <c r="E3" s="8">
        <f>COUNTIFS('Shortlisting Detail'!$B$2:$B$44,B3,'Shortlisting Detail'!$E$2:$E$44,"Not Shortlisted")</f>
        <v>0</v>
      </c>
    </row>
    <row r="4" spans="1:5" x14ac:dyDescent="0.25">
      <c r="A4" s="8">
        <v>3</v>
      </c>
      <c r="B4" s="8" t="s">
        <v>25</v>
      </c>
      <c r="C4" s="8">
        <v>4</v>
      </c>
      <c r="D4" s="8">
        <f>COUNTIFS('Shortlisting Detail'!$B$2:$B$44,B4,'Shortlisting Detail'!$E$2:$E$44,"Shortlisted")</f>
        <v>1</v>
      </c>
      <c r="E4" s="8">
        <f>COUNTIFS('Shortlisting Detail'!$B$2:$B$44,B4,'Shortlisting Detail'!$E$2:$E$44,"Not Shortlisted")</f>
        <v>0</v>
      </c>
    </row>
    <row r="5" spans="1:5" x14ac:dyDescent="0.25">
      <c r="A5" s="8">
        <v>4</v>
      </c>
      <c r="B5" s="8" t="s">
        <v>30</v>
      </c>
      <c r="C5" s="8">
        <v>14</v>
      </c>
      <c r="D5" s="8">
        <f>COUNTIFS('Shortlisting Detail'!$B$2:$B$44,B5,'Shortlisting Detail'!$E$2:$E$44,"Shortlisted")</f>
        <v>1</v>
      </c>
      <c r="E5" s="8">
        <f>COUNTIFS('Shortlisting Detail'!$B$2:$B$44,B5,'Shortlisting Detail'!$E$2:$E$44,"Not Shortlisted")</f>
        <v>0</v>
      </c>
    </row>
    <row r="6" spans="1:5" x14ac:dyDescent="0.25">
      <c r="A6" s="8">
        <v>5</v>
      </c>
      <c r="B6" s="8" t="s">
        <v>47</v>
      </c>
      <c r="C6" s="8">
        <v>1</v>
      </c>
      <c r="D6" s="8">
        <f>COUNTIFS('Shortlisting Detail'!$B$2:$B$44,B6,'Shortlisting Detail'!$E$2:$E$44,"Shortlisted")</f>
        <v>1</v>
      </c>
      <c r="E6" s="8">
        <f>COUNTIFS('Shortlisting Detail'!$B$2:$B$44,B6,'Shortlisting Detail'!$E$2:$E$44,"Not Shortlisted")</f>
        <v>0</v>
      </c>
    </row>
    <row r="7" spans="1:5" x14ac:dyDescent="0.25">
      <c r="A7" s="8">
        <v>6</v>
      </c>
      <c r="B7" s="8" t="s">
        <v>49</v>
      </c>
      <c r="C7" s="8">
        <v>7</v>
      </c>
      <c r="D7" s="8">
        <f>COUNTIFS('Shortlisting Detail'!$B$2:$B$44,B7,'Shortlisting Detail'!$E$2:$E$44,"Shortlisted")</f>
        <v>1</v>
      </c>
      <c r="E7" s="8">
        <f>COUNTIFS('Shortlisting Detail'!$B$2:$B$44,B7,'Shortlisting Detail'!$E$2:$E$44,"Not Shortlisted")</f>
        <v>0</v>
      </c>
    </row>
    <row r="8" spans="1:5" x14ac:dyDescent="0.25">
      <c r="A8" s="8">
        <v>7</v>
      </c>
      <c r="B8" s="8" t="s">
        <v>58</v>
      </c>
      <c r="C8" s="8">
        <v>5</v>
      </c>
      <c r="D8" s="8">
        <f>COUNTIFS('Shortlisting Detail'!$B$2:$B$44,B8,'Shortlisting Detail'!$E$2:$E$44,"Shortlisted")</f>
        <v>1</v>
      </c>
      <c r="E8" s="8">
        <f>COUNTIFS('Shortlisting Detail'!$B$2:$B$44,B8,'Shortlisting Detail'!$E$2:$E$44,"Not Shortlisted")</f>
        <v>0</v>
      </c>
    </row>
    <row r="9" spans="1:5" x14ac:dyDescent="0.25">
      <c r="A9" s="9"/>
      <c r="B9" s="9" t="s">
        <v>68</v>
      </c>
      <c r="C9" s="9">
        <f>SUM(C2:C8)</f>
        <v>42</v>
      </c>
      <c r="D9" s="9">
        <f>SUM(D2:D8)</f>
        <v>7</v>
      </c>
      <c r="E9" s="9">
        <f>SUM(E2:E8)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Shortlisting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cp:lastPrinted>2026-07-21T07:45:17Z</cp:lastPrinted>
  <dcterms:created xsi:type="dcterms:W3CDTF">2026-07-21T07:15:51Z</dcterms:created>
  <dcterms:modified xsi:type="dcterms:W3CDTF">2026-07-21T09:52:40Z</dcterms:modified>
  <dc:language>en-US</dc:language>
</cp:coreProperties>
</file>